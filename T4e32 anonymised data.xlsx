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Quiz_responses" sheetId="2" state="visible" r:id="rId4"/>
    <sheet name="Quiz_items" sheetId="3" state="visible" r:id="rId5"/>
    <sheet name="Quiz_summary" sheetId="4" state="visible" r:id="rId6"/>
    <sheet name="Topic_list" sheetId="5" state="visible" r:id="rId7"/>
    <sheet name="Projects" sheetId="6" state="visible" r:id="rId8"/>
    <sheet name="Projects_summary" sheetId="7" state="visible" r:id="rId9"/>
    <sheet name="Paper_check" sheetId="8" state="visible" r:id="rId10"/>
    <sheet name="Data_dictionary" sheetId="9" state="visible" r:id="rId11"/>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K14" authorId="0">
      <text>
        <r>
          <rPr>
            <sz val="10"/>
            <rFont val="Arial"/>
            <family val="2"/>
          </rPr>
          <t xml:space="preserve">Team of 3; one member is also in A-12, so 2 new students.</t>
        </r>
      </text>
    </comment>
    <comment ref="K29" authorId="0">
      <text>
        <r>
          <rPr>
            <sz val="10"/>
            <rFont val="Arial"/>
            <family val="2"/>
          </rPr>
          <t xml:space="preserve">Same team as B-09, so no new students.</t>
        </r>
      </text>
    </comment>
  </commentList>
</comments>
</file>

<file path=xl/sharedStrings.xml><?xml version="1.0" encoding="utf-8"?>
<sst xmlns="http://schemas.openxmlformats.org/spreadsheetml/2006/main" count="536" uniqueCount="348">
  <si>
    <t xml:space="preserve">Anonymised data: Interactive Computational Demonstrations for Enhancing Conceptual Understanding in Engineering Mathematics (T4E 2026, submission 32)</t>
  </si>
  <si>
    <t xml:space="preserve">Version 2, 10 Oct 2026. Author: Khimya Amlani (ORCID 0000-0003-0034-2388), First Year Engineering, Vidyalankar Institute of Technology, Mumbai, India.</t>
  </si>
  <si>
    <t xml:space="preserve">Context</t>
  </si>
  <si>
    <t xml:space="preserve">Second-year B.Tech. Electronics and Telecommunication (EXTC), academic year 2025–26, two divisions (A and B) of 75 students each. The demonstrations were used in Engineering Mathematics-III (semester III, Laplace) and Mathematics Through Communication (MTC, semester IV, January–April 2026; SVD and vectors/ANC). All data come from routine course activities.</t>
  </si>
  <si>
    <t xml:space="preserve">Anonymisation</t>
  </si>
  <si>
    <t xml:space="preserve">All names, e-mail addresses, roll numbers, submission links and links to student code have been removed. Students are identified only by codes S01–S64 (quiz) and projects by A-01…A-17 and B-01…B-12 (division + upload order). Project titles are kept as submitted, except that one product name chosen by a student group was removed (B-06, B-07) and one title garbled in export was repaired (B-09). Team sizes and quiz completion times are kept; they cannot identify a student outside the class.</t>
  </si>
  <si>
    <t xml:space="preserve">The original records (Microsoft Forms and MS Teams exports) are held by the author and can be shown to the programme chairs on request.</t>
  </si>
  <si>
    <t xml:space="preserve">Not included</t>
  </si>
  <si>
    <t xml:space="preserve">Laplace worksheet answers (W): discussed orally in class, not scored or kept. Instructor observation (O): informal, no protocol or written log. Groups that presented their mini-project in class without uploading it to MS Teams.</t>
  </si>
  <si>
    <t xml:space="preserve">Sheets</t>
  </si>
  <si>
    <t xml:space="preserve">Quiz_responses: vector-basics quiz (10 MCQ, 1 mark each), Division B, regular class on 26 Mar 2026; every student present that day took it (64 of 75 enrolled). Item Q6 was mis-keyed in the form (the correct option scored 0); column M re-scores it and Corrected_total uses the corrected Q6.</t>
  </si>
  <si>
    <t xml:space="preserve">Quiz_items: number and proportion correct per item (Q6 after correction).</t>
  </si>
  <si>
    <t xml:space="preserve">Quiz_summary: score distribution and descriptive statistics, computed by formula from Quiz_responses.</t>
  </si>
  <si>
    <t xml:space="preserve">Topic_list: the ten suggested mini-project topics (Assignment 10, P1–P10).</t>
  </si>
  <si>
    <t xml:space="preserve">Projects: every mini-project upload received 18–30 Apr 2026 (Division A: 17, Division B: 12), with duplicate flags, the topic code assigned by the author from the title, and whether the topic was on the list.</t>
  </si>
  <si>
    <t xml:space="preserve">Projects_summary: counts by topic and division, computed by formula from Projects.</t>
  </si>
  <si>
    <t xml:space="preserve">Paper_check: every number reported in the paper, recomputed from this workbook and compared with the value printed in the paper.</t>
  </si>
  <si>
    <t xml:space="preserve">Data_dictionary: meaning of every column.</t>
  </si>
  <si>
    <t xml:space="preserve">Topic codes</t>
  </si>
  <si>
    <t xml:space="preserve">VEC = vectors / orthogonality / noise cancellation; COR = correlation-based detection; PROB = probability and statistics; INFO = information theory; IMG = image-based; RES = residue theorem; OTH = other.</t>
  </si>
  <si>
    <t xml:space="preserve">Changes from version 1</t>
  </si>
  <si>
    <t xml:space="preserve">Added Topic_list, Paper_check and Data_dictionary sheets; added a distinct-student count to Projects and Projects_summary; added item range and score counts to Quiz_summary; removed a student product name from B-06/B-07; repaired the B-09 title; README updated (single author, unused code series removed, what is not included).</t>
  </si>
  <si>
    <t xml:space="preserve">Licence and citation</t>
  </si>
  <si>
    <t xml:space="preserve">Licence: CC BY 4.0</t>
  </si>
  <si>
    <t xml:space="preserve">Cite as: Amlani, K.: Anonymised data for "Interactive Computational Demonstrations for Enhancing Conceptual Understanding in Engineering Mathematics" (version 2) (2026). https://github.com/Khimya-Amlani/T4E2026-interactive-demos</t>
  </si>
  <si>
    <t xml:space="preserve">Student</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</si>
  <si>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</si>
  <si>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</si>
  <si>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</si>
  <si>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</si>
  <si>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</si>
  <si>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</si>
  <si>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</si>
  <si>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</si>
  <si>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</si>
  <si>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</si>
  <si>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Total as auto-graded</t>
  </si>
  <si>
    <t xml:space="preserve">Q6 corrected</t>
  </si>
  <si>
    <t xml:space="preserve">Corrected_total</t>
  </si>
  <si>
    <t xml:space="preserve">Minutes taken</t>
  </si>
  <si>
    <t xml:space="preserve">S01</t>
  </si>
  <si>
    <t xml:space="preserve">S02</t>
  </si>
  <si>
    <t xml:space="preserve">S03</t>
  </si>
  <si>
    <t xml:space="preserve">S04</t>
  </si>
  <si>
    <t xml:space="preserve">S05</t>
  </si>
  <si>
    <t xml:space="preserve">S06</t>
  </si>
  <si>
    <t xml:space="preserve">S07</t>
  </si>
  <si>
    <t xml:space="preserve">S08</t>
  </si>
  <si>
    <t xml:space="preserve">S09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</si>
  <si>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</si>
  <si>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</si>
  <si>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</si>
  <si>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</si>
  <si>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</si>
  <si>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</si>
  <si>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</si>
  <si>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</si>
  <si>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</si>
  <si>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</si>
  <si>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</si>
  <si>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</si>
  <si>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</si>
  <si>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</si>
  <si>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</si>
  <si>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</si>
  <si>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S26</t>
  </si>
  <si>
    <t xml:space="preserve">S27</t>
  </si>
  <si>
    <t xml:space="preserve">S28</t>
  </si>
  <si>
    <t xml:space="preserve">S29</t>
  </si>
  <si>
    <t xml:space="preserve">S30</t>
  </si>
  <si>
    <t xml:space="preserve">S31</t>
  </si>
  <si>
    <t xml:space="preserve">S32</t>
  </si>
  <si>
    <t xml:space="preserve">S33</t>
  </si>
  <si>
    <t xml:space="preserve">S34</t>
  </si>
  <si>
    <t xml:space="preserve">S35</t>
  </si>
  <si>
    <t xml:space="preserve">S36</t>
  </si>
  <si>
    <t xml:space="preserve">S37</t>
  </si>
  <si>
    <t xml:space="preserve">S38</t>
  </si>
  <si>
    <t xml:space="preserve">S39</t>
  </si>
  <si>
    <t xml:space="preserve">S40</t>
  </si>
  <si>
    <t xml:space="preserve">S41</t>
  </si>
  <si>
    <t xml:space="preserve">S42</t>
  </si>
  <si>
    <t xml:space="preserve">S43</t>
  </si>
  <si>
    <t xml:space="preserve">S44</t>
  </si>
  <si>
    <t xml:space="preserve">S45</t>
  </si>
  <si>
    <t xml:space="preserve">S46</t>
  </si>
  <si>
    <t xml:space="preserve">S47</t>
  </si>
  <si>
    <t xml:space="preserve">S48</t>
  </si>
  <si>
    <t xml:space="preserve">S49</t>
  </si>
  <si>
    <t xml:space="preserve">S50</t>
  </si>
  <si>
    <t xml:space="preserve">S51</t>
  </si>
  <si>
    <t xml:space="preserve">S52</t>
  </si>
  <si>
    <t xml:space="preserve">S53</t>
  </si>
  <si>
    <t xml:space="preserve">S54</t>
  </si>
  <si>
    <t xml:space="preserve">S55</t>
  </si>
  <si>
    <t xml:space="preserve">S56</t>
  </si>
  <si>
    <t xml:space="preserve">S57</t>
  </si>
  <si>
    <t xml:space="preserve">S58</t>
  </si>
  <si>
    <t xml:space="preserve">S59</t>
  </si>
  <si>
    <t xml:space="preserve">S60</t>
  </si>
  <si>
    <t xml:space="preserve">S61</t>
  </si>
  <si>
    <t xml:space="preserve">S62</t>
  </si>
  <si>
    <t xml:space="preserve">S63</t>
  </si>
  <si>
    <t xml:space="preserve">S64</t>
  </si>
  <si>
    <t xml:space="preserve">Item</t>
  </si>
  <si>
    <t xml:space="preserve">Question</t>
  </si>
  <si>
    <t xml:space="preserve">Correct (n)</t>
  </si>
  <si>
    <t xml:space="preserve">Proportion correct</t>
  </si>
  <si>
    <t xml:space="preserve">Note</t>
  </si>
  <si>
    <t xml:space="preserve">What is a vector?</t>
  </si>
  <si>
    <t xml:space="preserve">In a 2D coordinate system, which of the following correctly represents a vector?</t>
  </si>
  <si>
    <t xml:space="preserve">When you add two vectors, what is the geometric interpretation?</t>
  </si>
  <si>
    <t xml:space="preserve">What does scalar multiplication of a vector do?</t>
  </si>
  <si>
    <t xml:space="preserve">Two vectors are considered equal if:</t>
  </si>
  <si>
    <t xml:space="preserve">A physics student and a computer scientist both work with vectors. What is likely different about their perspectives?</t>
  </si>
  <si>
    <t xml:space="preserve">Mis-keyed in form; counted here with the correct key</t>
  </si>
  <si>
    <t xml:space="preserve">If vector v = (1, 2) and vector w = (3, -1), what is v+w?</t>
  </si>
  <si>
    <t xml:space="preserve">What happens to a vector when it is multiplied by the scalar 0?</t>
  </si>
  <si>
    <t xml:space="preserve">Which statement best describes the "zero vector"?</t>
  </si>
  <si>
    <t xml:space="preserve">Why is it said that vectors live in "vector space" rather than just a coordinate system?</t>
  </si>
  <si>
    <t xml:space="preserve">Measure</t>
  </si>
  <si>
    <t xml:space="preserve">Value</t>
  </si>
  <si>
    <t xml:space="preserve">Students enrolled, Division B</t>
  </si>
  <si>
    <t xml:space="preserve">Given by instructor</t>
  </si>
  <si>
    <t xml:space="preserve">Students who took the quiz</t>
  </si>
  <si>
    <t xml:space="preserve">Response rate</t>
  </si>
  <si>
    <t xml:space="preserve">Mean (corrected)</t>
  </si>
  <si>
    <t xml:space="preserve">SD (corrected)</t>
  </si>
  <si>
    <t xml:space="preserve">Sample SD (n-1)</t>
  </si>
  <si>
    <t xml:space="preserve">Median (corrected)</t>
  </si>
  <si>
    <t xml:space="preserve">Scored 10/10</t>
  </si>
  <si>
    <t xml:space="preserve">Scored 9/10</t>
  </si>
  <si>
    <t xml:space="preserve">Scored below 9</t>
  </si>
  <si>
    <t xml:space="preserve">Share at full marks</t>
  </si>
  <si>
    <t xml:space="preserve">Mean as auto-graded (before correction)</t>
  </si>
  <si>
    <t xml:space="preserve">Scored 2/10</t>
  </si>
  <si>
    <t xml:space="preserve">One student; most items wrong</t>
  </si>
  <si>
    <t xml:space="preserve">Lowest item proportion correct</t>
  </si>
  <si>
    <t xml:space="preserve">Highest item proportion correct</t>
  </si>
  <si>
    <t xml:space="preserve">Code</t>
  </si>
  <si>
    <t xml:space="preserve">Suggested topic (Assignment 10)</t>
  </si>
  <si>
    <t xml:space="preserve">Counted projects that chose it</t>
  </si>
  <si>
    <t xml:space="preserve">P1</t>
  </si>
  <si>
    <t xml:space="preserve">Noise Analysis in Communication Channel using Probability Distributions</t>
  </si>
  <si>
    <t xml:space="preserve">P2</t>
  </si>
  <si>
    <t xml:space="preserve">Signal Representation using Vector Spaces</t>
  </si>
  <si>
    <t xml:space="preserve">P3</t>
  </si>
  <si>
    <t xml:space="preserve">Evaluation of Real Integrals Using the Residue Theorem</t>
  </si>
  <si>
    <t xml:space="preserve">P4</t>
  </si>
  <si>
    <t xml:space="preserve">Correlation-Based Signal Similarity Detector</t>
  </si>
  <si>
    <t xml:space="preserve">P5</t>
  </si>
  <si>
    <t xml:space="preserve">(not chosen by any group; title not reproduced here)</t>
  </si>
  <si>
    <t xml:space="preserve">P6</t>
  </si>
  <si>
    <t xml:space="preserve">P7</t>
  </si>
  <si>
    <t xml:space="preserve">Orthogonal Signal Generation using the Gram-Schmidt Process</t>
  </si>
  <si>
    <t xml:space="preserve">P8</t>
  </si>
  <si>
    <t xml:space="preserve">Bayesian Decision Making for Signal Detection</t>
  </si>
  <si>
    <t xml:space="preserve">P9</t>
  </si>
  <si>
    <t xml:space="preserve">P10</t>
  </si>
  <si>
    <t xml:space="preserve">Mini ML Model using Linear Algebra and Statistics</t>
  </si>
  <si>
    <t xml:space="preserve">Titles are taken from the project titles of groups that chose that code. P5, P6 and P9 were on the list but no group chose them. Neither noise cancellation nor SVD was on the list. Topics were presented by groups as a report and a presentation.</t>
  </si>
  <si>
    <t xml:space="preserve">Division</t>
  </si>
  <si>
    <t xml:space="preserve">Submitted</t>
  </si>
  <si>
    <t xml:space="preserve">Team size</t>
  </si>
  <si>
    <t xml:space="preserve">Project title</t>
  </si>
  <si>
    <t xml:space="preserve">Topic</t>
  </si>
  <si>
    <t xml:space="preserve">Duplicate of</t>
  </si>
  <si>
    <t xml:space="preserve">Counted (1/0)</t>
  </si>
  <si>
    <t xml:space="preserve">On topic list (Assignment 10)</t>
  </si>
  <si>
    <t xml:space="preserve">New students (not already counted)</t>
  </si>
  <si>
    <t xml:space="preserve">A-01</t>
  </si>
  <si>
    <t xml:space="preserve">A</t>
  </si>
  <si>
    <t xml:space="preserve">18 Apr 2026</t>
  </si>
  <si>
    <t xml:space="preserve">PROB</t>
  </si>
  <si>
    <t xml:space="preserve">A-02</t>
  </si>
  <si>
    <t xml:space="preserve">Entropy calculator</t>
  </si>
  <si>
    <t xml:space="preserve">INFO</t>
  </si>
  <si>
    <t xml:space="preserve">No (own choice)</t>
  </si>
  <si>
    <t xml:space="preserve">A-03</t>
  </si>
  <si>
    <t xml:space="preserve">19 Apr 2026</t>
  </si>
  <si>
    <t xml:space="preserve">Active Noise Cancellation</t>
  </si>
  <si>
    <t xml:space="preserve">VEC</t>
  </si>
  <si>
    <t xml:space="preserve">Noise cancellation: group extended the instructor ANC applet</t>
  </si>
  <si>
    <t xml:space="preserve">A-04</t>
  </si>
  <si>
    <t xml:space="preserve">Signal Detection using Correlation</t>
  </si>
  <si>
    <t xml:space="preserve">COR</t>
  </si>
  <si>
    <t xml:space="preserve">A-05</t>
  </si>
  <si>
    <t xml:space="preserve">A-06</t>
  </si>
  <si>
    <t xml:space="preserve">Same group, same title, re-uploaded</t>
  </si>
  <si>
    <t xml:space="preserve">A-07</t>
  </si>
  <si>
    <t xml:space="preserve">Brain Tumor Detection using Image Processing and Statistical Analysis</t>
  </si>
  <si>
    <t xml:space="preserve">IMG</t>
  </si>
  <si>
    <t xml:space="preserve">Image + statistics; no SVD</t>
  </si>
  <si>
    <t xml:space="preserve">A-08</t>
  </si>
  <si>
    <t xml:space="preserve">Correlation-Based Signal Similarity Detector Using MATLAB</t>
  </si>
  <si>
    <t xml:space="preserve">A-09</t>
  </si>
  <si>
    <t xml:space="preserve">Correlation - based Signal Similarity Detector</t>
  </si>
  <si>
    <t xml:space="preserve">A-10</t>
  </si>
  <si>
    <t xml:space="preserve">Mini ML Model using Linear Algebra &amp; Statistics for Network Channel Analysis</t>
  </si>
  <si>
    <t xml:space="preserve">Uses linear algebra inside an ML model; not counted as VEC</t>
  </si>
  <si>
    <t xml:space="preserve">A-11</t>
  </si>
  <si>
    <t xml:space="preserve">20 Apr 2026</t>
  </si>
  <si>
    <t xml:space="preserve">A-12</t>
  </si>
  <si>
    <t xml:space="preserve">A-13</t>
  </si>
  <si>
    <t xml:space="preserve">Probabilistic Analysis of an Algorithmic Trading Strategy</t>
  </si>
  <si>
    <t xml:space="preserve">One member also in A-12</t>
  </si>
  <si>
    <t xml:space="preserve">A-14</t>
  </si>
  <si>
    <t xml:space="preserve">Same title as A-05, different group</t>
  </si>
  <si>
    <t xml:space="preserve">A-15</t>
  </si>
  <si>
    <t xml:space="preserve">21 Apr 2026</t>
  </si>
  <si>
    <t xml:space="preserve">Correlation based signal similarity detector</t>
  </si>
  <si>
    <t xml:space="preserve">A-16</t>
  </si>
  <si>
    <t xml:space="preserve">Correlation-based Signal Similarity Detector</t>
  </si>
  <si>
    <t xml:space="preserve">A-17</t>
  </si>
  <si>
    <t xml:space="preserve">24 Apr 2026</t>
  </si>
  <si>
    <t xml:space="preserve">Driver Drowsiness Alert System using Eye Aspect Ratio and Logistic Regression.</t>
  </si>
  <si>
    <t xml:space="preserve">Logistic regression</t>
  </si>
  <si>
    <t xml:space="preserve">B-01</t>
  </si>
  <si>
    <t xml:space="preserve">B</t>
  </si>
  <si>
    <t xml:space="preserve">Visualization of Gram-Schmidt Orthonormalization using MATLAB</t>
  </si>
  <si>
    <t xml:space="preserve">Gram-Schmidt</t>
  </si>
  <si>
    <t xml:space="preserve">B-02</t>
  </si>
  <si>
    <t xml:space="preserve">Audio Noise Cancellation using LMS Adaptive Filtering and MATLAB</t>
  </si>
  <si>
    <t xml:space="preserve">Noise cancellation (LMS)</t>
  </si>
  <si>
    <t xml:space="preserve">B-03</t>
  </si>
  <si>
    <t xml:space="preserve">22 Apr 2026</t>
  </si>
  <si>
    <t xml:space="preserve">B-04</t>
  </si>
  <si>
    <t xml:space="preserve">23 Apr 2026</t>
  </si>
  <si>
    <t xml:space="preserve">RES</t>
  </si>
  <si>
    <t xml:space="preserve">B-05</t>
  </si>
  <si>
    <t xml:space="preserve">Vector explorer</t>
  </si>
  <si>
    <t xml:space="preserve">B-06</t>
  </si>
  <si>
    <t xml:space="preserve">[product name removed] - Behavioral Lie Detection System</t>
  </si>
  <si>
    <t xml:space="preserve">OTH</t>
  </si>
  <si>
    <t xml:space="preserve">Product name in title removed for anonymity</t>
  </si>
  <si>
    <t xml:space="preserve">B-07</t>
  </si>
  <si>
    <t xml:space="preserve">Same group, same title, re-uploaded; product name in title removed</t>
  </si>
  <si>
    <t xml:space="preserve">B-08</t>
  </si>
  <si>
    <t xml:space="preserve">25 Apr 2026</t>
  </si>
  <si>
    <t xml:space="preserve">Smart OCR Tool</t>
  </si>
  <si>
    <t xml:space="preserve">Character recognition; no SVD</t>
  </si>
  <si>
    <t xml:space="preserve">B-09</t>
  </si>
  <si>
    <t xml:space="preserve">Smart Bus Frequency Optimization System Using Web Dashboard</t>
  </si>
  <si>
    <t xml:space="preserve">Same team as B-11; title repaired (letters "ti" lost in export)</t>
  </si>
  <si>
    <t xml:space="preserve">B-10</t>
  </si>
  <si>
    <t xml:space="preserve">B-11</t>
  </si>
  <si>
    <t xml:space="preserve">Orthogonal Signal Generation using Gram-Schmidt Process in MATLAB</t>
  </si>
  <si>
    <t xml:space="preserve">Gram-Schmidt; same team as B-09</t>
  </si>
  <si>
    <t xml:space="preserve">B-12</t>
  </si>
  <si>
    <t xml:space="preserve">30 Apr 2026</t>
  </si>
  <si>
    <t xml:space="preserve">Residue Therem</t>
  </si>
  <si>
    <t xml:space="preserve">Same residue-theorem project uploaded again by one member of B-04 (confirmed by instructor)</t>
  </si>
  <si>
    <t xml:space="preserve">Division A</t>
  </si>
  <si>
    <t xml:space="preserve">Division B</t>
  </si>
  <si>
    <t xml:space="preserve">Total</t>
  </si>
  <si>
    <t xml:space="preserve">Share of counted projects</t>
  </si>
  <si>
    <t xml:space="preserve">Counted projects</t>
  </si>
  <si>
    <t xml:space="preserve">Submissions received</t>
  </si>
  <si>
    <t xml:space="preserve">Duplicates removed</t>
  </si>
  <si>
    <t xml:space="preserve">Projects using SVD</t>
  </si>
  <si>
    <t xml:space="preserve">Checked from titles; SVD was not a project topic</t>
  </si>
  <si>
    <t xml:space="preserve">Counted projects on topic list</t>
  </si>
  <si>
    <t xml:space="preserve">Counted projects of own choice</t>
  </si>
  <si>
    <t xml:space="preserve">VEC projects on topic list</t>
  </si>
  <si>
    <t xml:space="preserve">VEC projects of own choice</t>
  </si>
  <si>
    <t xml:space="preserve">Includes the two noise-cancellation projects (A-03, B-02)</t>
  </si>
  <si>
    <t xml:space="preserve">Distinct students in counted projects</t>
  </si>
  <si>
    <t xml:space="preserve">Team sizes, with shared members counted once ("about 70" in the paper)</t>
  </si>
  <si>
    <t xml:space="preserve">Statement in paper</t>
  </si>
  <si>
    <t xml:space="preserve">Section</t>
  </si>
  <si>
    <t xml:space="preserve">From this data</t>
  </si>
  <si>
    <t xml:space="preserve">Value in paper</t>
  </si>
  <si>
    <t xml:space="preserve">Check</t>
  </si>
  <si>
    <t xml:space="preserve">Students enrolled per division</t>
  </si>
  <si>
    <t xml:space="preserve">4, Table 1</t>
  </si>
  <si>
    <t xml:space="preserve">Students who took the vector quiz (Div. B)</t>
  </si>
  <si>
    <t xml:space="preserve">5.1, Table 1</t>
  </si>
  <si>
    <t xml:space="preserve">Quiz: students at 10/10</t>
  </si>
  <si>
    <t xml:space="preserve">5.2</t>
  </si>
  <si>
    <t xml:space="preserve">Quiz: students at 9/10</t>
  </si>
  <si>
    <t xml:space="preserve">Quiz: students at 2/10</t>
  </si>
  <si>
    <t xml:space="preserve">Quiz mean (corrected)</t>
  </si>
  <si>
    <t xml:space="preserve">Quiz SD (corrected)</t>
  </si>
  <si>
    <t xml:space="preserve">Quiz median (corrected)</t>
  </si>
  <si>
    <t xml:space="preserve">Uploads received</t>
  </si>
  <si>
    <t xml:space="preserve">5.1</t>
  </si>
  <si>
    <t xml:space="preserve">Uploads, Division A</t>
  </si>
  <si>
    <t xml:space="preserve">Table 1</t>
  </si>
  <si>
    <t xml:space="preserve">Projects counted, Division A</t>
  </si>
  <si>
    <t xml:space="preserve">Uploads, Division B</t>
  </si>
  <si>
    <t xml:space="preserve">Projects counted, Division B</t>
  </si>
  <si>
    <t xml:space="preserve">Repeat uploads removed</t>
  </si>
  <si>
    <t xml:space="preserve">Projects counted</t>
  </si>
  <si>
    <t xml:space="preserve">5.3</t>
  </si>
  <si>
    <t xml:space="preserve">Projects on a listed topic</t>
  </si>
  <si>
    <t xml:space="preserve">Projects of own choice</t>
  </si>
  <si>
    <t xml:space="preserve">Projects built on vectors (VEC)</t>
  </si>
  <si>
    <t xml:space="preserve">5.3, Table 2</t>
  </si>
  <si>
    <t xml:space="preserve">VEC on listed topics</t>
  </si>
  <si>
    <t xml:space="preserve">VEC of own choice</t>
  </si>
  <si>
    <t xml:space="preserve">Correlation-based detection projects</t>
  </si>
  <si>
    <t xml:space="preserve">Image-based projects</t>
  </si>
  <si>
    <t xml:space="preserve">Students in uploaded projects ("about 70")</t>
  </si>
  <si>
    <t xml:space="preserve">Paper says "about 70"; data give the exact count</t>
  </si>
  <si>
    <t xml:space="preserve">Projects classed OTH (lie detection, bus dashboard)</t>
  </si>
  <si>
    <t xml:space="preserve">not mentioned</t>
  </si>
  <si>
    <t xml:space="preserve">CHECK</t>
  </si>
  <si>
    <t xml:space="preserve">Paper lists the remaining topics as probability, information theory, residue theorem and image-based; add "and two others" to Section 5.3</t>
  </si>
  <si>
    <t xml:space="preserve">Blue = value as printed in the paper (version submitted Oct 2026).</t>
  </si>
  <si>
    <t xml:space="preserve">Sheet</t>
  </si>
  <si>
    <t xml:space="preserve">Column</t>
  </si>
  <si>
    <t xml:space="preserve">Meaning</t>
  </si>
  <si>
    <t xml:space="preserve">Values</t>
  </si>
  <si>
    <t xml:space="preserve">Quiz_responses</t>
  </si>
  <si>
    <t xml:space="preserve">Anonymous student code</t>
  </si>
  <si>
    <t xml:space="preserve">S01–S64</t>
  </si>
  <si>
    <t xml:space="preserve">Q1–Q10</t>
  </si>
  <si>
    <t xml:space="preserve">Item score as auto-graded by the form</t>
  </si>
  <si>
    <t xml:space="preserve">1 = correct, 0 = wrong</t>
  </si>
  <si>
    <t xml:space="preserve">Sum of Q1–Q10 as the form scored them</t>
  </si>
  <si>
    <t xml:space="preserve">0–10</t>
  </si>
  <si>
    <t xml:space="preserve">Q6 re-scored with the correct key</t>
  </si>
  <si>
    <t xml:space="preserve">1 / 0</t>
  </si>
  <si>
    <t xml:space="preserve">Total with Q6 replaced by Q6 corrected</t>
  </si>
  <si>
    <t xml:space="preserve">Completion time reported by the form, rounded to whole minutes</t>
  </si>
  <si>
    <t xml:space="preserve">0 = under one minute</t>
  </si>
  <si>
    <t xml:space="preserve">Projects</t>
  </si>
  <si>
    <t xml:space="preserve">Upload code: division + order of upload</t>
  </si>
  <si>
    <t xml:space="preserve">A-01…A-17, B-01…B-12</t>
  </si>
  <si>
    <t xml:space="preserve">Class division</t>
  </si>
  <si>
    <t xml:space="preserve">A / B</t>
  </si>
  <si>
    <t xml:space="preserve">Upload date to MS Teams</t>
  </si>
  <si>
    <t xml:space="preserve">date</t>
  </si>
  <si>
    <t xml:space="preserve">Students named on the submission</t>
  </si>
  <si>
    <t xml:space="preserve">1–4</t>
  </si>
  <si>
    <t xml:space="preserve">Title as submitted (see README for edits)</t>
  </si>
  <si>
    <t xml:space="preserve">text</t>
  </si>
  <si>
    <t xml:space="preserve">Main topic, assigned by the author from the title and report</t>
  </si>
  <si>
    <t xml:space="preserve">VEC, COR, PROB, INFO, IMG, RES, OTH</t>
  </si>
  <si>
    <t xml:space="preserve">Earlier upload of the same project, if any</t>
  </si>
  <si>
    <t xml:space="preserve">code or blank</t>
  </si>
  <si>
    <t xml:space="preserve">1 = counted in the analysis, 0 = repeat upload</t>
  </si>
  <si>
    <t xml:space="preserve">On topic list</t>
  </si>
  <si>
    <t xml:space="preserve">Assignment 10 topic code, or own choice</t>
  </si>
  <si>
    <t xml:space="preserve">P1–P10 / No (own choice)</t>
  </si>
  <si>
    <t xml:space="preserve">New students</t>
  </si>
  <si>
    <t xml:space="preserve">Students not already counted in an earlier project (shared members and repeat uploads = 0)</t>
  </si>
  <si>
    <t xml:space="preserve">integer</t>
  </si>
</sst>
</file>

<file path=xl/styles.xml><?xml version="1.0" encoding="utf-8"?>
<styleSheet xmlns="http://schemas.openxmlformats.org/spreadsheetml/2006/main">
  <numFmts count="5">
    <numFmt numFmtId="164" formatCode="General"/>
    <numFmt numFmtId="165" formatCode="0.0%"/>
    <numFmt numFmtId="166" formatCode="0.00"/>
    <numFmt numFmtId="167" formatCode="General"/>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color rgb="FF0000FF"/>
      <name val="Arial"/>
      <family val="0"/>
      <charset val="1"/>
    </font>
    <font>
      <i val="true"/>
      <sz val="10"/>
      <color rgb="FF666666"/>
      <name val="Arial"/>
      <family val="0"/>
      <charset val="1"/>
    </font>
    <font>
      <sz val="10"/>
      <name val="Arial"/>
      <family val="2"/>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xf numFmtId="168"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8.66796875" defaultRowHeight="14.25" zeroHeight="false" outlineLevelRow="0" outlineLevelCol="0"/>
  <cols>
    <col collapsed="false" customWidth="true" hidden="false" outlineLevel="0" max="1" min="1" style="1" width="120"/>
  </cols>
  <sheetData>
    <row r="1" customFormat="false" ht="26.25" hidden="false" customHeight="true" outlineLevel="0" collapsed="false">
      <c r="A1" s="2" t="s">
        <v>0</v>
      </c>
    </row>
    <row r="2" customFormat="false" ht="23.25" hidden="false" customHeight="true" outlineLevel="0" collapsed="false">
      <c r="A2" s="3" t="s">
        <v>1</v>
      </c>
    </row>
    <row r="3" customFormat="false" ht="27" hidden="false" customHeight="true" outlineLevel="0" collapsed="false">
      <c r="A3" s="3"/>
    </row>
    <row r="4" customFormat="false" ht="14.25" hidden="false" customHeight="true" outlineLevel="0" collapsed="false">
      <c r="A4" s="4" t="s">
        <v>2</v>
      </c>
    </row>
    <row r="5" customFormat="false" ht="34.5" hidden="false" customHeight="true" outlineLevel="0" collapsed="false">
      <c r="A5" s="3" t="s">
        <v>3</v>
      </c>
    </row>
    <row r="6" customFormat="false" ht="14.25" hidden="false" customHeight="true" outlineLevel="0" collapsed="false">
      <c r="A6" s="3"/>
    </row>
    <row r="7" customFormat="false" ht="27" hidden="false" customHeight="true" outlineLevel="0" collapsed="false">
      <c r="A7" s="4" t="s">
        <v>4</v>
      </c>
    </row>
    <row r="8" customFormat="false" ht="45.75" hidden="false" customHeight="true" outlineLevel="0" collapsed="false">
      <c r="A8" s="3" t="s">
        <v>5</v>
      </c>
    </row>
    <row r="9" customFormat="false" ht="14.25" hidden="false" customHeight="true" outlineLevel="0" collapsed="false">
      <c r="A9" s="3" t="s">
        <v>6</v>
      </c>
    </row>
    <row r="10" customFormat="false" ht="27" hidden="false" customHeight="true" outlineLevel="0" collapsed="false">
      <c r="A10" s="3"/>
    </row>
    <row r="11" customFormat="false" ht="14.25" hidden="false" customHeight="true" outlineLevel="0" collapsed="false">
      <c r="A11" s="4" t="s">
        <v>7</v>
      </c>
    </row>
    <row r="12" customFormat="false" ht="27" hidden="false" customHeight="true" outlineLevel="0" collapsed="false">
      <c r="A12" s="3" t="s">
        <v>8</v>
      </c>
    </row>
    <row r="13" customFormat="false" ht="14.25" hidden="false" customHeight="true" outlineLevel="0" collapsed="false">
      <c r="A13" s="3"/>
    </row>
    <row r="14" customFormat="false" ht="27" hidden="false" customHeight="true" outlineLevel="0" collapsed="false">
      <c r="A14" s="4" t="s">
        <v>9</v>
      </c>
    </row>
    <row r="15" customFormat="false" ht="23.25" hidden="false" customHeight="true" outlineLevel="0" collapsed="false">
      <c r="A15" s="3" t="s">
        <v>10</v>
      </c>
    </row>
    <row r="16" customFormat="false" ht="14.25" hidden="false" customHeight="true" outlineLevel="0" collapsed="false">
      <c r="A16" s="3" t="s">
        <v>11</v>
      </c>
    </row>
    <row r="17" customFormat="false" ht="14.25" hidden="false" customHeight="true" outlineLevel="0" collapsed="false">
      <c r="A17" s="3" t="s">
        <v>12</v>
      </c>
    </row>
    <row r="18" customFormat="false" ht="14.25" hidden="false" customHeight="true" outlineLevel="0" collapsed="false">
      <c r="A18" s="3" t="s">
        <v>13</v>
      </c>
    </row>
    <row r="19" customFormat="false" ht="23.25" hidden="false" customHeight="true" outlineLevel="0" collapsed="false">
      <c r="A19" s="3" t="s">
        <v>14</v>
      </c>
    </row>
    <row r="20" customFormat="false" ht="14.25" hidden="false" customHeight="true" outlineLevel="0" collapsed="false">
      <c r="A20" s="3" t="s">
        <v>15</v>
      </c>
    </row>
    <row r="21" customFormat="false" ht="14.25" hidden="false" customHeight="true" outlineLevel="0" collapsed="false">
      <c r="A21" s="3" t="s">
        <v>16</v>
      </c>
    </row>
    <row r="22" customFormat="false" ht="14.25" hidden="false" customHeight="true" outlineLevel="0" collapsed="false">
      <c r="A22" s="3" t="s">
        <v>17</v>
      </c>
    </row>
    <row r="23" customFormat="false" ht="14.25" hidden="false" customHeight="true" outlineLevel="0" collapsed="false">
      <c r="A23" s="3"/>
    </row>
    <row r="24" customFormat="false" ht="14.25" hidden="false" customHeight="true" outlineLevel="0" collapsed="false">
      <c r="A24" s="4" t="s">
        <v>18</v>
      </c>
    </row>
    <row r="25" customFormat="false" ht="23.25" hidden="false" customHeight="true" outlineLevel="0" collapsed="false">
      <c r="A25" s="3" t="s">
        <v>19</v>
      </c>
    </row>
    <row r="26" customFormat="false" ht="14.25" hidden="false" customHeight="true" outlineLevel="0" collapsed="false">
      <c r="A26" s="3"/>
    </row>
    <row r="27" customFormat="false" ht="14.25" hidden="false" customHeight="true" outlineLevel="0" collapsed="false">
      <c r="A27" s="4" t="s">
        <v>20</v>
      </c>
    </row>
    <row r="28" customFormat="false" ht="34.5" hidden="false" customHeight="true" outlineLevel="0" collapsed="false">
      <c r="A28" s="3" t="s">
        <v>21</v>
      </c>
    </row>
    <row r="29" customFormat="false" ht="14.25" hidden="false" customHeight="true" outlineLevel="0" collapsed="false">
      <c r="A29" s="3"/>
    </row>
    <row r="30" customFormat="false" ht="14.25" hidden="false" customHeight="true" outlineLevel="0" collapsed="false">
      <c r="A30" s="4" t="s">
        <v>22</v>
      </c>
    </row>
    <row r="31" customFormat="false" ht="14.25" hidden="false" customHeight="true" outlineLevel="0" collapsed="false">
      <c r="A31" s="3" t="s">
        <v>23</v>
      </c>
    </row>
    <row r="32" customFormat="false" ht="23.25" hidden="false" customHeight="true" outlineLevel="0" collapsed="false">
      <c r="A32"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9"/>
    <col collapsed="false" customWidth="true" hidden="false" outlineLevel="0" max="11" min="2" style="1" width="6"/>
    <col collapsed="false" customWidth="true" hidden="false" outlineLevel="0" max="12" min="12" style="1" width="12"/>
    <col collapsed="false" customWidth="true" hidden="false" outlineLevel="0" max="13" min="13" style="1" width="10"/>
    <col collapsed="false" customWidth="true" hidden="false" outlineLevel="0" max="14" min="14" style="1" width="12"/>
    <col collapsed="false" customWidth="true" hidden="false" outlineLevel="0" max="15" min="15" style="1" width="10"/>
  </cols>
  <sheetData>
    <row r="1" customFormat="false" ht="41.25" hidden="false" customHeight="true" outlineLevel="0" collapsed="false">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row>
    <row r="2" customFormat="false" ht="14.25" hidden="false" customHeight="true" outlineLevel="0" collapsed="false">
      <c r="A2" s="3" t="s">
        <v>40</v>
      </c>
      <c r="B2" s="3" t="n">
        <v>1</v>
      </c>
      <c r="C2" s="3" t="n">
        <v>1</v>
      </c>
      <c r="D2" s="3" t="n">
        <v>1</v>
      </c>
      <c r="E2" s="3" t="n">
        <v>1</v>
      </c>
      <c r="F2" s="3" t="n">
        <v>1</v>
      </c>
      <c r="G2" s="3" t="n">
        <v>0</v>
      </c>
      <c r="H2" s="3" t="n">
        <v>1</v>
      </c>
      <c r="I2" s="3" t="n">
        <v>1</v>
      </c>
      <c r="J2" s="3" t="n">
        <v>1</v>
      </c>
      <c r="K2" s="3" t="n">
        <v>1</v>
      </c>
      <c r="L2" s="3" t="n">
        <f aca="false">SUM(B2:K2)</f>
        <v>9</v>
      </c>
      <c r="M2" s="3" t="n">
        <v>1</v>
      </c>
      <c r="N2" s="3" t="n">
        <f aca="false">L2-G2+M2</f>
        <v>10</v>
      </c>
      <c r="O2" s="3" t="n">
        <v>2</v>
      </c>
    </row>
    <row r="3" customFormat="false" ht="14.25" hidden="false" customHeight="true" outlineLevel="0" collapsed="false">
      <c r="A3" s="3" t="s">
        <v>41</v>
      </c>
      <c r="B3" s="3" t="n">
        <v>1</v>
      </c>
      <c r="C3" s="3" t="n">
        <v>1</v>
      </c>
      <c r="D3" s="3" t="n">
        <v>1</v>
      </c>
      <c r="E3" s="3" t="n">
        <v>1</v>
      </c>
      <c r="F3" s="3" t="n">
        <v>1</v>
      </c>
      <c r="G3" s="3" t="n">
        <v>0</v>
      </c>
      <c r="H3" s="3" t="n">
        <v>1</v>
      </c>
      <c r="I3" s="3" t="n">
        <v>1</v>
      </c>
      <c r="J3" s="3" t="n">
        <v>1</v>
      </c>
      <c r="K3" s="3" t="n">
        <v>1</v>
      </c>
      <c r="L3" s="3" t="n">
        <f aca="false">SUM(B3:K3)</f>
        <v>9</v>
      </c>
      <c r="M3" s="3" t="n">
        <v>1</v>
      </c>
      <c r="N3" s="3" t="n">
        <f aca="false">L3-G3+M3</f>
        <v>10</v>
      </c>
      <c r="O3" s="3" t="n">
        <v>2</v>
      </c>
    </row>
    <row r="4" customFormat="false" ht="14.25" hidden="false" customHeight="true" outlineLevel="0" collapsed="false">
      <c r="A4" s="3" t="s">
        <v>42</v>
      </c>
      <c r="B4" s="3" t="n">
        <v>1</v>
      </c>
      <c r="C4" s="3" t="n">
        <v>1</v>
      </c>
      <c r="D4" s="3" t="n">
        <v>1</v>
      </c>
      <c r="E4" s="3" t="n">
        <v>1</v>
      </c>
      <c r="F4" s="3" t="n">
        <v>1</v>
      </c>
      <c r="G4" s="3" t="n">
        <v>0</v>
      </c>
      <c r="H4" s="3" t="n">
        <v>1</v>
      </c>
      <c r="I4" s="3" t="n">
        <v>1</v>
      </c>
      <c r="J4" s="3" t="n">
        <v>1</v>
      </c>
      <c r="K4" s="3" t="n">
        <v>1</v>
      </c>
      <c r="L4" s="3" t="n">
        <f aca="false">SUM(B4:K4)</f>
        <v>9</v>
      </c>
      <c r="M4" s="3" t="n">
        <v>1</v>
      </c>
      <c r="N4" s="3" t="n">
        <f aca="false">L4-G4+M4</f>
        <v>10</v>
      </c>
      <c r="O4" s="3" t="n">
        <v>2</v>
      </c>
    </row>
    <row r="5" customFormat="false" ht="14.25" hidden="false" customHeight="true" outlineLevel="0" collapsed="false">
      <c r="A5" s="3" t="s">
        <v>43</v>
      </c>
      <c r="B5" s="3" t="n">
        <v>1</v>
      </c>
      <c r="C5" s="3" t="n">
        <v>1</v>
      </c>
      <c r="D5" s="3" t="n">
        <v>1</v>
      </c>
      <c r="E5" s="3" t="n">
        <v>1</v>
      </c>
      <c r="F5" s="3" t="n">
        <v>1</v>
      </c>
      <c r="G5" s="3" t="n">
        <v>0</v>
      </c>
      <c r="H5" s="3" t="n">
        <v>1</v>
      </c>
      <c r="I5" s="3" t="n">
        <v>1</v>
      </c>
      <c r="J5" s="3" t="n">
        <v>1</v>
      </c>
      <c r="K5" s="3" t="n">
        <v>1</v>
      </c>
      <c r="L5" s="3" t="n">
        <f aca="false">SUM(B5:K5)</f>
        <v>9</v>
      </c>
      <c r="M5" s="3" t="n">
        <v>1</v>
      </c>
      <c r="N5" s="3" t="n">
        <f aca="false">L5-G5+M5</f>
        <v>10</v>
      </c>
      <c r="O5" s="3" t="n">
        <v>1</v>
      </c>
    </row>
    <row r="6" customFormat="false" ht="14.25" hidden="false" customHeight="true" outlineLevel="0" collapsed="false">
      <c r="A6" s="3" t="s">
        <v>44</v>
      </c>
      <c r="B6" s="3" t="n">
        <v>1</v>
      </c>
      <c r="C6" s="3" t="n">
        <v>1</v>
      </c>
      <c r="D6" s="3" t="n">
        <v>1</v>
      </c>
      <c r="E6" s="3" t="n">
        <v>1</v>
      </c>
      <c r="F6" s="3" t="n">
        <v>1</v>
      </c>
      <c r="G6" s="3" t="n">
        <v>0</v>
      </c>
      <c r="H6" s="3" t="n">
        <v>1</v>
      </c>
      <c r="I6" s="3" t="n">
        <v>1</v>
      </c>
      <c r="J6" s="3" t="n">
        <v>1</v>
      </c>
      <c r="K6" s="3" t="n">
        <v>1</v>
      </c>
      <c r="L6" s="3" t="n">
        <f aca="false">SUM(B6:K6)</f>
        <v>9</v>
      </c>
      <c r="M6" s="3" t="n">
        <v>1</v>
      </c>
      <c r="N6" s="3" t="n">
        <f aca="false">L6-G6+M6</f>
        <v>10</v>
      </c>
      <c r="O6" s="3" t="n">
        <v>3</v>
      </c>
    </row>
    <row r="7" customFormat="false" ht="14.25" hidden="false" customHeight="true" outlineLevel="0" collapsed="false">
      <c r="A7" s="3" t="s">
        <v>45</v>
      </c>
      <c r="B7" s="3" t="n">
        <v>1</v>
      </c>
      <c r="C7" s="3" t="n">
        <v>0</v>
      </c>
      <c r="D7" s="3" t="n">
        <v>1</v>
      </c>
      <c r="E7" s="3" t="n">
        <v>1</v>
      </c>
      <c r="F7" s="3" t="n">
        <v>1</v>
      </c>
      <c r="G7" s="3" t="n">
        <v>0</v>
      </c>
      <c r="H7" s="3" t="n">
        <v>1</v>
      </c>
      <c r="I7" s="3" t="n">
        <v>1</v>
      </c>
      <c r="J7" s="3" t="n">
        <v>1</v>
      </c>
      <c r="K7" s="3" t="n">
        <v>1</v>
      </c>
      <c r="L7" s="3" t="n">
        <f aca="false">SUM(B7:K7)</f>
        <v>8</v>
      </c>
      <c r="M7" s="3" t="n">
        <v>1</v>
      </c>
      <c r="N7" s="3" t="n">
        <f aca="false">L7-G7+M7</f>
        <v>9</v>
      </c>
      <c r="O7" s="3" t="n">
        <v>3</v>
      </c>
    </row>
    <row r="8" customFormat="false" ht="14.25" hidden="false" customHeight="true" outlineLevel="0" collapsed="false">
      <c r="A8" s="3" t="s">
        <v>46</v>
      </c>
      <c r="B8" s="3" t="n">
        <v>1</v>
      </c>
      <c r="C8" s="3" t="n">
        <v>1</v>
      </c>
      <c r="D8" s="3" t="n">
        <v>1</v>
      </c>
      <c r="E8" s="3" t="n">
        <v>1</v>
      </c>
      <c r="F8" s="3" t="n">
        <v>1</v>
      </c>
      <c r="G8" s="3" t="n">
        <v>0</v>
      </c>
      <c r="H8" s="3" t="n">
        <v>1</v>
      </c>
      <c r="I8" s="3" t="n">
        <v>1</v>
      </c>
      <c r="J8" s="3" t="n">
        <v>1</v>
      </c>
      <c r="K8" s="3" t="n">
        <v>1</v>
      </c>
      <c r="L8" s="3" t="n">
        <f aca="false">SUM(B8:K8)</f>
        <v>9</v>
      </c>
      <c r="M8" s="3" t="n">
        <v>1</v>
      </c>
      <c r="N8" s="3" t="n">
        <f aca="false">L8-G8+M8</f>
        <v>10</v>
      </c>
      <c r="O8" s="3" t="n">
        <v>4</v>
      </c>
    </row>
    <row r="9" customFormat="false" ht="14.25" hidden="false" customHeight="true" outlineLevel="0" collapsed="false">
      <c r="A9" s="3" t="s">
        <v>47</v>
      </c>
      <c r="B9" s="3" t="n">
        <v>1</v>
      </c>
      <c r="C9" s="3" t="n">
        <v>1</v>
      </c>
      <c r="D9" s="3" t="n">
        <v>1</v>
      </c>
      <c r="E9" s="3" t="n">
        <v>1</v>
      </c>
      <c r="F9" s="3" t="n">
        <v>1</v>
      </c>
      <c r="G9" s="3" t="n">
        <v>0</v>
      </c>
      <c r="H9" s="3" t="n">
        <v>1</v>
      </c>
      <c r="I9" s="3" t="n">
        <v>1</v>
      </c>
      <c r="J9" s="3" t="n">
        <v>1</v>
      </c>
      <c r="K9" s="3" t="n">
        <v>1</v>
      </c>
      <c r="L9" s="3" t="n">
        <f aca="false">SUM(B9:K9)</f>
        <v>9</v>
      </c>
      <c r="M9" s="3" t="n">
        <v>1</v>
      </c>
      <c r="N9" s="3" t="n">
        <f aca="false">L9-G9+M9</f>
        <v>10</v>
      </c>
      <c r="O9" s="3" t="n">
        <v>3</v>
      </c>
    </row>
    <row r="10" customFormat="false" ht="14.25" hidden="false" customHeight="true" outlineLevel="0" collapsed="false">
      <c r="A10" s="3" t="s">
        <v>48</v>
      </c>
      <c r="B10" s="3" t="n">
        <v>1</v>
      </c>
      <c r="C10" s="3" t="n">
        <v>1</v>
      </c>
      <c r="D10" s="3" t="n">
        <v>1</v>
      </c>
      <c r="E10" s="3" t="n">
        <v>1</v>
      </c>
      <c r="F10" s="3" t="n">
        <v>1</v>
      </c>
      <c r="G10" s="3" t="n">
        <v>0</v>
      </c>
      <c r="H10" s="3" t="n">
        <v>1</v>
      </c>
      <c r="I10" s="3" t="n">
        <v>1</v>
      </c>
      <c r="J10" s="3" t="n">
        <v>1</v>
      </c>
      <c r="K10" s="3" t="n">
        <v>1</v>
      </c>
      <c r="L10" s="3" t="n">
        <f aca="false">SUM(B10:K10)</f>
        <v>9</v>
      </c>
      <c r="M10" s="3" t="n">
        <v>1</v>
      </c>
      <c r="N10" s="3" t="n">
        <f aca="false">L10-G10+M10</f>
        <v>10</v>
      </c>
      <c r="O10" s="3" t="n">
        <v>3</v>
      </c>
    </row>
    <row r="11" customFormat="false" ht="14.25" hidden="false" customHeight="true" outlineLevel="0" collapsed="false">
      <c r="A11" s="3" t="s">
        <v>49</v>
      </c>
      <c r="B11" s="3" t="n">
        <v>1</v>
      </c>
      <c r="C11" s="3" t="n">
        <v>1</v>
      </c>
      <c r="D11" s="3" t="n">
        <v>1</v>
      </c>
      <c r="E11" s="3" t="n">
        <v>1</v>
      </c>
      <c r="F11" s="3" t="n">
        <v>1</v>
      </c>
      <c r="G11" s="3" t="n">
        <v>0</v>
      </c>
      <c r="H11" s="3" t="n">
        <v>1</v>
      </c>
      <c r="I11" s="3" t="n">
        <v>1</v>
      </c>
      <c r="J11" s="3" t="n">
        <v>1</v>
      </c>
      <c r="K11" s="3" t="n">
        <v>1</v>
      </c>
      <c r="L11" s="3" t="n">
        <f aca="false">SUM(B11:K11)</f>
        <v>9</v>
      </c>
      <c r="M11" s="3" t="n">
        <v>1</v>
      </c>
      <c r="N11" s="3" t="n">
        <f aca="false">L11-G11+M11</f>
        <v>10</v>
      </c>
      <c r="O11" s="3" t="n">
        <v>4</v>
      </c>
    </row>
    <row r="12" customFormat="false" ht="14.25" hidden="false" customHeight="true" outlineLevel="0" collapsed="false">
      <c r="A12" s="3" t="s">
        <v>50</v>
      </c>
      <c r="B12" s="3" t="n">
        <v>1</v>
      </c>
      <c r="C12" s="3" t="n">
        <v>1</v>
      </c>
      <c r="D12" s="3" t="n">
        <v>1</v>
      </c>
      <c r="E12" s="3" t="n">
        <v>1</v>
      </c>
      <c r="F12" s="3" t="n">
        <v>1</v>
      </c>
      <c r="G12" s="3" t="n">
        <v>0</v>
      </c>
      <c r="H12" s="3" t="n">
        <v>1</v>
      </c>
      <c r="I12" s="3" t="n">
        <v>1</v>
      </c>
      <c r="J12" s="3" t="n">
        <v>1</v>
      </c>
      <c r="K12" s="3" t="n">
        <v>1</v>
      </c>
      <c r="L12" s="3" t="n">
        <f aca="false">SUM(B12:K12)</f>
        <v>9</v>
      </c>
      <c r="M12" s="3" t="n">
        <v>1</v>
      </c>
      <c r="N12" s="3" t="n">
        <f aca="false">L12-G12+M12</f>
        <v>10</v>
      </c>
      <c r="O12" s="3" t="n">
        <v>2</v>
      </c>
    </row>
    <row r="13" customFormat="false" ht="14.25" hidden="false" customHeight="true" outlineLevel="0" collapsed="false">
      <c r="A13" s="3" t="s">
        <v>51</v>
      </c>
      <c r="B13" s="3" t="n">
        <v>1</v>
      </c>
      <c r="C13" s="3" t="n">
        <v>1</v>
      </c>
      <c r="D13" s="3" t="n">
        <v>1</v>
      </c>
      <c r="E13" s="3" t="n">
        <v>1</v>
      </c>
      <c r="F13" s="3" t="n">
        <v>1</v>
      </c>
      <c r="G13" s="3" t="n">
        <v>0</v>
      </c>
      <c r="H13" s="3" t="n">
        <v>1</v>
      </c>
      <c r="I13" s="3" t="n">
        <v>1</v>
      </c>
      <c r="J13" s="3" t="n">
        <v>1</v>
      </c>
      <c r="K13" s="3" t="n">
        <v>1</v>
      </c>
      <c r="L13" s="3" t="n">
        <f aca="false">SUM(B13:K13)</f>
        <v>9</v>
      </c>
      <c r="M13" s="3" t="n">
        <v>1</v>
      </c>
      <c r="N13" s="3" t="n">
        <f aca="false">L13-G13+M13</f>
        <v>10</v>
      </c>
      <c r="O13" s="3" t="n">
        <v>3</v>
      </c>
    </row>
    <row r="14" customFormat="false" ht="14.25" hidden="false" customHeight="true" outlineLevel="0" collapsed="false">
      <c r="A14" s="3" t="s">
        <v>52</v>
      </c>
      <c r="B14" s="3" t="n">
        <v>1</v>
      </c>
      <c r="C14" s="3" t="n">
        <v>0</v>
      </c>
      <c r="D14" s="3" t="n">
        <v>1</v>
      </c>
      <c r="E14" s="3" t="n">
        <v>1</v>
      </c>
      <c r="F14" s="3" t="n">
        <v>1</v>
      </c>
      <c r="G14" s="3" t="n">
        <v>0</v>
      </c>
      <c r="H14" s="3" t="n">
        <v>1</v>
      </c>
      <c r="I14" s="3" t="n">
        <v>1</v>
      </c>
      <c r="J14" s="3" t="n">
        <v>1</v>
      </c>
      <c r="K14" s="3" t="n">
        <v>1</v>
      </c>
      <c r="L14" s="3" t="n">
        <f aca="false">SUM(B14:K14)</f>
        <v>8</v>
      </c>
      <c r="M14" s="3" t="n">
        <v>1</v>
      </c>
      <c r="N14" s="3" t="n">
        <f aca="false">L14-G14+M14</f>
        <v>9</v>
      </c>
      <c r="O14" s="3" t="n">
        <v>3</v>
      </c>
    </row>
    <row r="15" customFormat="false" ht="14.25" hidden="false" customHeight="true" outlineLevel="0" collapsed="false">
      <c r="A15" s="3" t="s">
        <v>53</v>
      </c>
      <c r="B15" s="3" t="n">
        <v>1</v>
      </c>
      <c r="C15" s="3" t="n">
        <v>1</v>
      </c>
      <c r="D15" s="3" t="n">
        <v>1</v>
      </c>
      <c r="E15" s="3" t="n">
        <v>1</v>
      </c>
      <c r="F15" s="3" t="n">
        <v>1</v>
      </c>
      <c r="G15" s="3" t="n">
        <v>0</v>
      </c>
      <c r="H15" s="3" t="n">
        <v>1</v>
      </c>
      <c r="I15" s="3" t="n">
        <v>1</v>
      </c>
      <c r="J15" s="3" t="n">
        <v>1</v>
      </c>
      <c r="K15" s="3" t="n">
        <v>1</v>
      </c>
      <c r="L15" s="3" t="n">
        <f aca="false">SUM(B15:K15)</f>
        <v>9</v>
      </c>
      <c r="M15" s="3" t="n">
        <v>1</v>
      </c>
      <c r="N15" s="3" t="n">
        <f aca="false">L15-G15+M15</f>
        <v>10</v>
      </c>
      <c r="O15" s="3" t="n">
        <v>4</v>
      </c>
    </row>
    <row r="16" customFormat="false" ht="14.25" hidden="false" customHeight="true" outlineLevel="0" collapsed="false">
      <c r="A16" s="3" t="s">
        <v>54</v>
      </c>
      <c r="B16" s="3" t="n">
        <v>1</v>
      </c>
      <c r="C16" s="3" t="n">
        <v>1</v>
      </c>
      <c r="D16" s="3" t="n">
        <v>1</v>
      </c>
      <c r="E16" s="3" t="n">
        <v>1</v>
      </c>
      <c r="F16" s="3" t="n">
        <v>1</v>
      </c>
      <c r="G16" s="3" t="n">
        <v>0</v>
      </c>
      <c r="H16" s="3" t="n">
        <v>1</v>
      </c>
      <c r="I16" s="3" t="n">
        <v>1</v>
      </c>
      <c r="J16" s="3" t="n">
        <v>1</v>
      </c>
      <c r="K16" s="3" t="n">
        <v>1</v>
      </c>
      <c r="L16" s="3" t="n">
        <f aca="false">SUM(B16:K16)</f>
        <v>9</v>
      </c>
      <c r="M16" s="3" t="n">
        <v>1</v>
      </c>
      <c r="N16" s="3" t="n">
        <f aca="false">L16-G16+M16</f>
        <v>10</v>
      </c>
      <c r="O16" s="3" t="n">
        <v>4</v>
      </c>
    </row>
    <row r="17" customFormat="false" ht="14.25" hidden="false" customHeight="true" outlineLevel="0" collapsed="false">
      <c r="A17" s="3" t="s">
        <v>55</v>
      </c>
      <c r="B17" s="3" t="n">
        <v>1</v>
      </c>
      <c r="C17" s="3" t="n">
        <v>1</v>
      </c>
      <c r="D17" s="3" t="n">
        <v>1</v>
      </c>
      <c r="E17" s="3" t="n">
        <v>1</v>
      </c>
      <c r="F17" s="3" t="n">
        <v>1</v>
      </c>
      <c r="G17" s="3" t="n">
        <v>0</v>
      </c>
      <c r="H17" s="3" t="n">
        <v>1</v>
      </c>
      <c r="I17" s="3" t="n">
        <v>1</v>
      </c>
      <c r="J17" s="3" t="n">
        <v>1</v>
      </c>
      <c r="K17" s="3" t="n">
        <v>1</v>
      </c>
      <c r="L17" s="3" t="n">
        <f aca="false">SUM(B17:K17)</f>
        <v>9</v>
      </c>
      <c r="M17" s="3" t="n">
        <v>1</v>
      </c>
      <c r="N17" s="3" t="n">
        <f aca="false">L17-G17+M17</f>
        <v>10</v>
      </c>
      <c r="O17" s="3" t="n">
        <v>5</v>
      </c>
    </row>
    <row r="18" customFormat="false" ht="14.25" hidden="false" customHeight="true" outlineLevel="0" collapsed="false">
      <c r="A18" s="3" t="s">
        <v>56</v>
      </c>
      <c r="B18" s="3" t="n">
        <v>1</v>
      </c>
      <c r="C18" s="3" t="n">
        <v>1</v>
      </c>
      <c r="D18" s="3" t="n">
        <v>0</v>
      </c>
      <c r="E18" s="3" t="n">
        <v>1</v>
      </c>
      <c r="F18" s="3" t="n">
        <v>1</v>
      </c>
      <c r="G18" s="3" t="n">
        <v>0</v>
      </c>
      <c r="H18" s="3" t="n">
        <v>1</v>
      </c>
      <c r="I18" s="3" t="n">
        <v>1</v>
      </c>
      <c r="J18" s="3" t="n">
        <v>1</v>
      </c>
      <c r="K18" s="3" t="n">
        <v>1</v>
      </c>
      <c r="L18" s="3" t="n">
        <f aca="false">SUM(B18:K18)</f>
        <v>8</v>
      </c>
      <c r="M18" s="3" t="n">
        <v>1</v>
      </c>
      <c r="N18" s="3" t="n">
        <f aca="false">L18-G18+M18</f>
        <v>9</v>
      </c>
      <c r="O18" s="3" t="n">
        <v>4</v>
      </c>
    </row>
    <row r="19" customFormat="false" ht="14.25" hidden="false" customHeight="true" outlineLevel="0" collapsed="false">
      <c r="A19" s="3" t="s">
        <v>57</v>
      </c>
      <c r="B19" s="3" t="n">
        <v>1</v>
      </c>
      <c r="C19" s="3" t="n">
        <v>1</v>
      </c>
      <c r="D19" s="3" t="n">
        <v>1</v>
      </c>
      <c r="E19" s="3" t="n">
        <v>1</v>
      </c>
      <c r="F19" s="3" t="n">
        <v>1</v>
      </c>
      <c r="G19" s="3" t="n">
        <v>0</v>
      </c>
      <c r="H19" s="3" t="n">
        <v>1</v>
      </c>
      <c r="I19" s="3" t="n">
        <v>1</v>
      </c>
      <c r="J19" s="3" t="n">
        <v>1</v>
      </c>
      <c r="K19" s="3" t="n">
        <v>1</v>
      </c>
      <c r="L19" s="3" t="n">
        <f aca="false">SUM(B19:K19)</f>
        <v>9</v>
      </c>
      <c r="M19" s="3" t="n">
        <v>1</v>
      </c>
      <c r="N19" s="3" t="n">
        <f aca="false">L19-G19+M19</f>
        <v>10</v>
      </c>
      <c r="O19" s="3" t="n">
        <v>3</v>
      </c>
    </row>
    <row r="20" customFormat="false" ht="14.25" hidden="false" customHeight="true" outlineLevel="0" collapsed="false">
      <c r="A20" s="3" t="s">
        <v>58</v>
      </c>
      <c r="B20" s="3" t="n">
        <v>1</v>
      </c>
      <c r="C20" s="3" t="n">
        <v>1</v>
      </c>
      <c r="D20" s="3" t="n">
        <v>1</v>
      </c>
      <c r="E20" s="3" t="n">
        <v>1</v>
      </c>
      <c r="F20" s="3" t="n">
        <v>1</v>
      </c>
      <c r="G20" s="3" t="n">
        <v>0</v>
      </c>
      <c r="H20" s="3" t="n">
        <v>1</v>
      </c>
      <c r="I20" s="3" t="n">
        <v>1</v>
      </c>
      <c r="J20" s="3" t="n">
        <v>1</v>
      </c>
      <c r="K20" s="3" t="n">
        <v>1</v>
      </c>
      <c r="L20" s="3" t="n">
        <f aca="false">SUM(B20:K20)</f>
        <v>9</v>
      </c>
      <c r="M20" s="3" t="n">
        <v>1</v>
      </c>
      <c r="N20" s="3" t="n">
        <f aca="false">L20-G20+M20</f>
        <v>10</v>
      </c>
      <c r="O20" s="3" t="n">
        <v>3</v>
      </c>
    </row>
    <row r="21" customFormat="false" ht="14.25" hidden="false" customHeight="true" outlineLevel="0" collapsed="false">
      <c r="A21" s="3" t="s">
        <v>59</v>
      </c>
      <c r="B21" s="3" t="n">
        <v>1</v>
      </c>
      <c r="C21" s="3" t="n">
        <v>1</v>
      </c>
      <c r="D21" s="3" t="n">
        <v>1</v>
      </c>
      <c r="E21" s="3" t="n">
        <v>1</v>
      </c>
      <c r="F21" s="3" t="n">
        <v>1</v>
      </c>
      <c r="G21" s="3" t="n">
        <v>0</v>
      </c>
      <c r="H21" s="3" t="n">
        <v>1</v>
      </c>
      <c r="I21" s="3" t="n">
        <v>1</v>
      </c>
      <c r="J21" s="3" t="n">
        <v>1</v>
      </c>
      <c r="K21" s="3" t="n">
        <v>1</v>
      </c>
      <c r="L21" s="3" t="n">
        <f aca="false">SUM(B21:K21)</f>
        <v>9</v>
      </c>
      <c r="M21" s="3" t="n">
        <v>1</v>
      </c>
      <c r="N21" s="3" t="n">
        <f aca="false">L21-G21+M21</f>
        <v>10</v>
      </c>
      <c r="O21" s="3" t="n">
        <v>4</v>
      </c>
    </row>
    <row r="22" customFormat="false" ht="14.25" hidden="false" customHeight="true" outlineLevel="0" collapsed="false">
      <c r="A22" s="3" t="s">
        <v>60</v>
      </c>
      <c r="B22" s="3" t="n">
        <v>1</v>
      </c>
      <c r="C22" s="3" t="n">
        <v>1</v>
      </c>
      <c r="D22" s="3" t="n">
        <v>1</v>
      </c>
      <c r="E22" s="3" t="n">
        <v>1</v>
      </c>
      <c r="F22" s="3" t="n">
        <v>1</v>
      </c>
      <c r="G22" s="3" t="n">
        <v>0</v>
      </c>
      <c r="H22" s="3" t="n">
        <v>1</v>
      </c>
      <c r="I22" s="3" t="n">
        <v>1</v>
      </c>
      <c r="J22" s="3" t="n">
        <v>1</v>
      </c>
      <c r="K22" s="3" t="n">
        <v>1</v>
      </c>
      <c r="L22" s="3" t="n">
        <f aca="false">SUM(B22:K22)</f>
        <v>9</v>
      </c>
      <c r="M22" s="3" t="n">
        <v>1</v>
      </c>
      <c r="N22" s="3" t="n">
        <f aca="false">L22-G22+M22</f>
        <v>10</v>
      </c>
      <c r="O22" s="3" t="n">
        <v>4</v>
      </c>
    </row>
    <row r="23" customFormat="false" ht="14.25" hidden="false" customHeight="true" outlineLevel="0" collapsed="false">
      <c r="A23" s="3" t="s">
        <v>61</v>
      </c>
      <c r="B23" s="3" t="n">
        <v>1</v>
      </c>
      <c r="C23" s="3" t="n">
        <v>1</v>
      </c>
      <c r="D23" s="3" t="n">
        <v>1</v>
      </c>
      <c r="E23" s="3" t="n">
        <v>1</v>
      </c>
      <c r="F23" s="3" t="n">
        <v>1</v>
      </c>
      <c r="G23" s="3" t="n">
        <v>0</v>
      </c>
      <c r="H23" s="3" t="n">
        <v>1</v>
      </c>
      <c r="I23" s="3" t="n">
        <v>1</v>
      </c>
      <c r="J23" s="3" t="n">
        <v>1</v>
      </c>
      <c r="K23" s="3" t="n">
        <v>1</v>
      </c>
      <c r="L23" s="3" t="n">
        <f aca="false">SUM(B23:K23)</f>
        <v>9</v>
      </c>
      <c r="M23" s="3" t="n">
        <v>1</v>
      </c>
      <c r="N23" s="3" t="n">
        <f aca="false">L23-G23+M23</f>
        <v>10</v>
      </c>
      <c r="O23" s="3" t="n">
        <v>2</v>
      </c>
    </row>
    <row r="24" customFormat="false" ht="14.25" hidden="false" customHeight="true" outlineLevel="0" collapsed="false">
      <c r="A24" s="3" t="s">
        <v>62</v>
      </c>
      <c r="B24" s="3" t="n">
        <v>1</v>
      </c>
      <c r="C24" s="3" t="n">
        <v>1</v>
      </c>
      <c r="D24" s="3" t="n">
        <v>1</v>
      </c>
      <c r="E24" s="3" t="n">
        <v>1</v>
      </c>
      <c r="F24" s="3" t="n">
        <v>1</v>
      </c>
      <c r="G24" s="3" t="n">
        <v>0</v>
      </c>
      <c r="H24" s="3" t="n">
        <v>1</v>
      </c>
      <c r="I24" s="3" t="n">
        <v>1</v>
      </c>
      <c r="J24" s="3" t="n">
        <v>1</v>
      </c>
      <c r="K24" s="3" t="n">
        <v>1</v>
      </c>
      <c r="L24" s="3" t="n">
        <f aca="false">SUM(B24:K24)</f>
        <v>9</v>
      </c>
      <c r="M24" s="3" t="n">
        <v>1</v>
      </c>
      <c r="N24" s="3" t="n">
        <f aca="false">L24-G24+M24</f>
        <v>10</v>
      </c>
      <c r="O24" s="3" t="n">
        <v>4</v>
      </c>
    </row>
    <row r="25" customFormat="false" ht="14.25" hidden="false" customHeight="true" outlineLevel="0" collapsed="false">
      <c r="A25" s="3" t="s">
        <v>63</v>
      </c>
      <c r="B25" s="3" t="n">
        <v>1</v>
      </c>
      <c r="C25" s="3" t="n">
        <v>1</v>
      </c>
      <c r="D25" s="3" t="n">
        <v>1</v>
      </c>
      <c r="E25" s="3" t="n">
        <v>1</v>
      </c>
      <c r="F25" s="3" t="n">
        <v>1</v>
      </c>
      <c r="G25" s="3" t="n">
        <v>0</v>
      </c>
      <c r="H25" s="3" t="n">
        <v>1</v>
      </c>
      <c r="I25" s="3" t="n">
        <v>1</v>
      </c>
      <c r="J25" s="3" t="n">
        <v>1</v>
      </c>
      <c r="K25" s="3" t="n">
        <v>1</v>
      </c>
      <c r="L25" s="3" t="n">
        <f aca="false">SUM(B25:K25)</f>
        <v>9</v>
      </c>
      <c r="M25" s="3" t="n">
        <v>1</v>
      </c>
      <c r="N25" s="3" t="n">
        <f aca="false">L25-G25+M25</f>
        <v>10</v>
      </c>
      <c r="O25" s="3" t="n">
        <v>4</v>
      </c>
    </row>
    <row r="26" customFormat="false" ht="14.25" hidden="false" customHeight="true" outlineLevel="0" collapsed="false">
      <c r="A26" s="3" t="s">
        <v>64</v>
      </c>
      <c r="B26" s="3" t="n">
        <v>1</v>
      </c>
      <c r="C26" s="3" t="n">
        <v>1</v>
      </c>
      <c r="D26" s="3" t="n">
        <v>1</v>
      </c>
      <c r="E26" s="3" t="n">
        <v>1</v>
      </c>
      <c r="F26" s="3" t="n">
        <v>1</v>
      </c>
      <c r="G26" s="3" t="n">
        <v>0</v>
      </c>
      <c r="H26" s="3" t="n">
        <v>1</v>
      </c>
      <c r="I26" s="3" t="n">
        <v>1</v>
      </c>
      <c r="J26" s="3" t="n">
        <v>1</v>
      </c>
      <c r="K26" s="3" t="n">
        <v>1</v>
      </c>
      <c r="L26" s="3" t="n">
        <f aca="false">SUM(B26:K26)</f>
        <v>9</v>
      </c>
      <c r="M26" s="3" t="n">
        <v>1</v>
      </c>
      <c r="N26" s="3" t="n">
        <f aca="false">L26-G26+M26</f>
        <v>10</v>
      </c>
      <c r="O26" s="3" t="n">
        <v>5</v>
      </c>
    </row>
    <row r="27" customFormat="false" ht="14.25" hidden="false" customHeight="true" outlineLevel="0" collapsed="false">
      <c r="A27" s="3" t="s">
        <v>65</v>
      </c>
      <c r="B27" s="3" t="n">
        <v>1</v>
      </c>
      <c r="C27" s="3" t="n">
        <v>1</v>
      </c>
      <c r="D27" s="3" t="n">
        <v>1</v>
      </c>
      <c r="E27" s="3" t="n">
        <v>1</v>
      </c>
      <c r="F27" s="3" t="n">
        <v>1</v>
      </c>
      <c r="G27" s="3" t="n">
        <v>0</v>
      </c>
      <c r="H27" s="3" t="n">
        <v>1</v>
      </c>
      <c r="I27" s="3" t="n">
        <v>1</v>
      </c>
      <c r="J27" s="3" t="n">
        <v>1</v>
      </c>
      <c r="K27" s="3" t="n">
        <v>1</v>
      </c>
      <c r="L27" s="3" t="n">
        <f aca="false">SUM(B27:K27)</f>
        <v>9</v>
      </c>
      <c r="M27" s="3" t="n">
        <v>1</v>
      </c>
      <c r="N27" s="3" t="n">
        <f aca="false">L27-G27+M27</f>
        <v>10</v>
      </c>
      <c r="O27" s="3" t="n">
        <v>4</v>
      </c>
    </row>
    <row r="28" customFormat="false" ht="14.25" hidden="false" customHeight="true" outlineLevel="0" collapsed="false">
      <c r="A28" s="3" t="s">
        <v>66</v>
      </c>
      <c r="B28" s="3" t="n">
        <v>1</v>
      </c>
      <c r="C28" s="3" t="n">
        <v>1</v>
      </c>
      <c r="D28" s="3" t="n">
        <v>1</v>
      </c>
      <c r="E28" s="3" t="n">
        <v>1</v>
      </c>
      <c r="F28" s="3" t="n">
        <v>1</v>
      </c>
      <c r="G28" s="3" t="n">
        <v>0</v>
      </c>
      <c r="H28" s="3" t="n">
        <v>1</v>
      </c>
      <c r="I28" s="3" t="n">
        <v>1</v>
      </c>
      <c r="J28" s="3" t="n">
        <v>1</v>
      </c>
      <c r="K28" s="3" t="n">
        <v>1</v>
      </c>
      <c r="L28" s="3" t="n">
        <f aca="false">SUM(B28:K28)</f>
        <v>9</v>
      </c>
      <c r="M28" s="3" t="n">
        <v>1</v>
      </c>
      <c r="N28" s="3" t="n">
        <f aca="false">L28-G28+M28</f>
        <v>10</v>
      </c>
      <c r="O28" s="3" t="n">
        <v>5</v>
      </c>
    </row>
    <row r="29" customFormat="false" ht="14.25" hidden="false" customHeight="true" outlineLevel="0" collapsed="false">
      <c r="A29" s="3" t="s">
        <v>67</v>
      </c>
      <c r="B29" s="3" t="n">
        <v>1</v>
      </c>
      <c r="C29" s="3" t="n">
        <v>1</v>
      </c>
      <c r="D29" s="3" t="n">
        <v>1</v>
      </c>
      <c r="E29" s="3" t="n">
        <v>1</v>
      </c>
      <c r="F29" s="3" t="n">
        <v>1</v>
      </c>
      <c r="G29" s="3" t="n">
        <v>0</v>
      </c>
      <c r="H29" s="3" t="n">
        <v>1</v>
      </c>
      <c r="I29" s="3" t="n">
        <v>1</v>
      </c>
      <c r="J29" s="3" t="n">
        <v>1</v>
      </c>
      <c r="K29" s="3" t="n">
        <v>1</v>
      </c>
      <c r="L29" s="3" t="n">
        <f aca="false">SUM(B29:K29)</f>
        <v>9</v>
      </c>
      <c r="M29" s="3" t="n">
        <v>1</v>
      </c>
      <c r="N29" s="3" t="n">
        <f aca="false">L29-G29+M29</f>
        <v>10</v>
      </c>
      <c r="O29" s="3" t="n">
        <v>5</v>
      </c>
    </row>
    <row r="30" customFormat="false" ht="14.25" hidden="false" customHeight="true" outlineLevel="0" collapsed="false">
      <c r="A30" s="3" t="s">
        <v>68</v>
      </c>
      <c r="B30" s="3" t="n">
        <v>1</v>
      </c>
      <c r="C30" s="3" t="n">
        <v>1</v>
      </c>
      <c r="D30" s="3" t="n">
        <v>1</v>
      </c>
      <c r="E30" s="3" t="n">
        <v>1</v>
      </c>
      <c r="F30" s="3" t="n">
        <v>1</v>
      </c>
      <c r="G30" s="3" t="n">
        <v>0</v>
      </c>
      <c r="H30" s="3" t="n">
        <v>1</v>
      </c>
      <c r="I30" s="3" t="n">
        <v>1</v>
      </c>
      <c r="J30" s="3" t="n">
        <v>1</v>
      </c>
      <c r="K30" s="3" t="n">
        <v>1</v>
      </c>
      <c r="L30" s="3" t="n">
        <f aca="false">SUM(B30:K30)</f>
        <v>9</v>
      </c>
      <c r="M30" s="3" t="n">
        <v>1</v>
      </c>
      <c r="N30" s="3" t="n">
        <f aca="false">L30-G30+M30</f>
        <v>10</v>
      </c>
      <c r="O30" s="3" t="n">
        <v>4</v>
      </c>
    </row>
    <row r="31" customFormat="false" ht="14.25" hidden="false" customHeight="true" outlineLevel="0" collapsed="false">
      <c r="A31" s="3" t="s">
        <v>69</v>
      </c>
      <c r="B31" s="3" t="n">
        <v>1</v>
      </c>
      <c r="C31" s="3" t="n">
        <v>1</v>
      </c>
      <c r="D31" s="3" t="n">
        <v>1</v>
      </c>
      <c r="E31" s="3" t="n">
        <v>1</v>
      </c>
      <c r="F31" s="3" t="n">
        <v>1</v>
      </c>
      <c r="G31" s="3" t="n">
        <v>0</v>
      </c>
      <c r="H31" s="3" t="n">
        <v>1</v>
      </c>
      <c r="I31" s="3" t="n">
        <v>1</v>
      </c>
      <c r="J31" s="3" t="n">
        <v>1</v>
      </c>
      <c r="K31" s="3" t="n">
        <v>1</v>
      </c>
      <c r="L31" s="3" t="n">
        <f aca="false">SUM(B31:K31)</f>
        <v>9</v>
      </c>
      <c r="M31" s="3" t="n">
        <v>1</v>
      </c>
      <c r="N31" s="3" t="n">
        <f aca="false">L31-G31+M31</f>
        <v>10</v>
      </c>
      <c r="O31" s="3" t="n">
        <v>6</v>
      </c>
    </row>
    <row r="32" customFormat="false" ht="14.25" hidden="false" customHeight="true" outlineLevel="0" collapsed="false">
      <c r="A32" s="3" t="s">
        <v>70</v>
      </c>
      <c r="B32" s="3" t="n">
        <v>0</v>
      </c>
      <c r="C32" s="3" t="n">
        <v>0</v>
      </c>
      <c r="D32" s="3" t="n">
        <v>0</v>
      </c>
      <c r="E32" s="3" t="n">
        <v>0</v>
      </c>
      <c r="F32" s="3" t="n">
        <v>1</v>
      </c>
      <c r="G32" s="3" t="n">
        <v>0</v>
      </c>
      <c r="H32" s="3" t="n">
        <v>1</v>
      </c>
      <c r="I32" s="3" t="n">
        <v>0</v>
      </c>
      <c r="J32" s="3" t="n">
        <v>0</v>
      </c>
      <c r="K32" s="3" t="n">
        <v>0</v>
      </c>
      <c r="L32" s="3" t="n">
        <f aca="false">SUM(B32:K32)</f>
        <v>2</v>
      </c>
      <c r="M32" s="3" t="n">
        <v>0</v>
      </c>
      <c r="N32" s="3" t="n">
        <f aca="false">L32-G32+M32</f>
        <v>2</v>
      </c>
      <c r="O32" s="3" t="n">
        <v>0</v>
      </c>
    </row>
    <row r="33" customFormat="false" ht="14.25" hidden="false" customHeight="true" outlineLevel="0" collapsed="false">
      <c r="A33" s="3" t="s">
        <v>71</v>
      </c>
      <c r="B33" s="3" t="n">
        <v>1</v>
      </c>
      <c r="C33" s="3" t="n">
        <v>1</v>
      </c>
      <c r="D33" s="3" t="n">
        <v>1</v>
      </c>
      <c r="E33" s="3" t="n">
        <v>1</v>
      </c>
      <c r="F33" s="3" t="n">
        <v>1</v>
      </c>
      <c r="G33" s="3" t="n">
        <v>0</v>
      </c>
      <c r="H33" s="3" t="n">
        <v>1</v>
      </c>
      <c r="I33" s="3" t="n">
        <v>1</v>
      </c>
      <c r="J33" s="3" t="n">
        <v>1</v>
      </c>
      <c r="K33" s="3" t="n">
        <v>1</v>
      </c>
      <c r="L33" s="3" t="n">
        <f aca="false">SUM(B33:K33)</f>
        <v>9</v>
      </c>
      <c r="M33" s="3" t="n">
        <v>1</v>
      </c>
      <c r="N33" s="3" t="n">
        <f aca="false">L33-G33+M33</f>
        <v>10</v>
      </c>
      <c r="O33" s="3" t="n">
        <v>4</v>
      </c>
    </row>
    <row r="34" customFormat="false" ht="14.25" hidden="false" customHeight="true" outlineLevel="0" collapsed="false">
      <c r="A34" s="3" t="s">
        <v>72</v>
      </c>
      <c r="B34" s="3" t="n">
        <v>1</v>
      </c>
      <c r="C34" s="3" t="n">
        <v>1</v>
      </c>
      <c r="D34" s="3" t="n">
        <v>1</v>
      </c>
      <c r="E34" s="3" t="n">
        <v>1</v>
      </c>
      <c r="F34" s="3" t="n">
        <v>1</v>
      </c>
      <c r="G34" s="3" t="n">
        <v>0</v>
      </c>
      <c r="H34" s="3" t="n">
        <v>1</v>
      </c>
      <c r="I34" s="3" t="n">
        <v>1</v>
      </c>
      <c r="J34" s="3" t="n">
        <v>1</v>
      </c>
      <c r="K34" s="3" t="n">
        <v>1</v>
      </c>
      <c r="L34" s="3" t="n">
        <f aca="false">SUM(B34:K34)</f>
        <v>9</v>
      </c>
      <c r="M34" s="3" t="n">
        <v>1</v>
      </c>
      <c r="N34" s="3" t="n">
        <f aca="false">L34-G34+M34</f>
        <v>10</v>
      </c>
      <c r="O34" s="3" t="n">
        <v>3</v>
      </c>
    </row>
    <row r="35" customFormat="false" ht="14.25" hidden="false" customHeight="true" outlineLevel="0" collapsed="false">
      <c r="A35" s="3" t="s">
        <v>73</v>
      </c>
      <c r="B35" s="3" t="n">
        <v>1</v>
      </c>
      <c r="C35" s="3" t="n">
        <v>1</v>
      </c>
      <c r="D35" s="3" t="n">
        <v>1</v>
      </c>
      <c r="E35" s="3" t="n">
        <v>1</v>
      </c>
      <c r="F35" s="3" t="n">
        <v>1</v>
      </c>
      <c r="G35" s="3" t="n">
        <v>0</v>
      </c>
      <c r="H35" s="3" t="n">
        <v>1</v>
      </c>
      <c r="I35" s="3" t="n">
        <v>1</v>
      </c>
      <c r="J35" s="3" t="n">
        <v>1</v>
      </c>
      <c r="K35" s="3" t="n">
        <v>1</v>
      </c>
      <c r="L35" s="3" t="n">
        <f aca="false">SUM(B35:K35)</f>
        <v>9</v>
      </c>
      <c r="M35" s="3" t="n">
        <v>1</v>
      </c>
      <c r="N35" s="3" t="n">
        <f aca="false">L35-G35+M35</f>
        <v>10</v>
      </c>
      <c r="O35" s="3" t="n">
        <v>5</v>
      </c>
    </row>
    <row r="36" customFormat="false" ht="14.25" hidden="false" customHeight="true" outlineLevel="0" collapsed="false">
      <c r="A36" s="3" t="s">
        <v>74</v>
      </c>
      <c r="B36" s="3" t="n">
        <v>1</v>
      </c>
      <c r="C36" s="3" t="n">
        <v>1</v>
      </c>
      <c r="D36" s="3" t="n">
        <v>1</v>
      </c>
      <c r="E36" s="3" t="n">
        <v>1</v>
      </c>
      <c r="F36" s="3" t="n">
        <v>1</v>
      </c>
      <c r="G36" s="3" t="n">
        <v>0</v>
      </c>
      <c r="H36" s="3" t="n">
        <v>1</v>
      </c>
      <c r="I36" s="3" t="n">
        <v>1</v>
      </c>
      <c r="J36" s="3" t="n">
        <v>1</v>
      </c>
      <c r="K36" s="3" t="n">
        <v>1</v>
      </c>
      <c r="L36" s="3" t="n">
        <f aca="false">SUM(B36:K36)</f>
        <v>9</v>
      </c>
      <c r="M36" s="3" t="n">
        <v>1</v>
      </c>
      <c r="N36" s="3" t="n">
        <f aca="false">L36-G36+M36</f>
        <v>10</v>
      </c>
      <c r="O36" s="3" t="n">
        <v>1</v>
      </c>
    </row>
    <row r="37" customFormat="false" ht="14.25" hidden="false" customHeight="true" outlineLevel="0" collapsed="false">
      <c r="A37" s="3" t="s">
        <v>75</v>
      </c>
      <c r="B37" s="3" t="n">
        <v>1</v>
      </c>
      <c r="C37" s="3" t="n">
        <v>1</v>
      </c>
      <c r="D37" s="3" t="n">
        <v>1</v>
      </c>
      <c r="E37" s="3" t="n">
        <v>1</v>
      </c>
      <c r="F37" s="3" t="n">
        <v>1</v>
      </c>
      <c r="G37" s="3" t="n">
        <v>0</v>
      </c>
      <c r="H37" s="3" t="n">
        <v>1</v>
      </c>
      <c r="I37" s="3" t="n">
        <v>1</v>
      </c>
      <c r="J37" s="3" t="n">
        <v>1</v>
      </c>
      <c r="K37" s="3" t="n">
        <v>1</v>
      </c>
      <c r="L37" s="3" t="n">
        <f aca="false">SUM(B37:K37)</f>
        <v>9</v>
      </c>
      <c r="M37" s="3" t="n">
        <v>1</v>
      </c>
      <c r="N37" s="3" t="n">
        <f aca="false">L37-G37+M37</f>
        <v>10</v>
      </c>
      <c r="O37" s="3" t="n">
        <v>5</v>
      </c>
    </row>
    <row r="38" customFormat="false" ht="14.25" hidden="false" customHeight="true" outlineLevel="0" collapsed="false">
      <c r="A38" s="3" t="s">
        <v>76</v>
      </c>
      <c r="B38" s="3" t="n">
        <v>1</v>
      </c>
      <c r="C38" s="3" t="n">
        <v>1</v>
      </c>
      <c r="D38" s="3" t="n">
        <v>1</v>
      </c>
      <c r="E38" s="3" t="n">
        <v>1</v>
      </c>
      <c r="F38" s="3" t="n">
        <v>1</v>
      </c>
      <c r="G38" s="3" t="n">
        <v>0</v>
      </c>
      <c r="H38" s="3" t="n">
        <v>1</v>
      </c>
      <c r="I38" s="3" t="n">
        <v>1</v>
      </c>
      <c r="J38" s="3" t="n">
        <v>1</v>
      </c>
      <c r="K38" s="3" t="n">
        <v>1</v>
      </c>
      <c r="L38" s="3" t="n">
        <f aca="false">SUM(B38:K38)</f>
        <v>9</v>
      </c>
      <c r="M38" s="3" t="n">
        <v>1</v>
      </c>
      <c r="N38" s="3" t="n">
        <f aca="false">L38-G38+M38</f>
        <v>10</v>
      </c>
      <c r="O38" s="3" t="n">
        <v>6</v>
      </c>
    </row>
    <row r="39" customFormat="false" ht="14.25" hidden="false" customHeight="true" outlineLevel="0" collapsed="false">
      <c r="A39" s="3" t="s">
        <v>77</v>
      </c>
      <c r="B39" s="3" t="n">
        <v>1</v>
      </c>
      <c r="C39" s="3" t="n">
        <v>1</v>
      </c>
      <c r="D39" s="3" t="n">
        <v>1</v>
      </c>
      <c r="E39" s="3" t="n">
        <v>1</v>
      </c>
      <c r="F39" s="3" t="n">
        <v>1</v>
      </c>
      <c r="G39" s="3" t="n">
        <v>0</v>
      </c>
      <c r="H39" s="3" t="n">
        <v>1</v>
      </c>
      <c r="I39" s="3" t="n">
        <v>1</v>
      </c>
      <c r="J39" s="3" t="n">
        <v>1</v>
      </c>
      <c r="K39" s="3" t="n">
        <v>1</v>
      </c>
      <c r="L39" s="3" t="n">
        <f aca="false">SUM(B39:K39)</f>
        <v>9</v>
      </c>
      <c r="M39" s="3" t="n">
        <v>1</v>
      </c>
      <c r="N39" s="3" t="n">
        <f aca="false">L39-G39+M39</f>
        <v>10</v>
      </c>
      <c r="O39" s="3" t="n">
        <v>6</v>
      </c>
    </row>
    <row r="40" customFormat="false" ht="14.25" hidden="false" customHeight="true" outlineLevel="0" collapsed="false">
      <c r="A40" s="3" t="s">
        <v>78</v>
      </c>
      <c r="B40" s="3" t="n">
        <v>1</v>
      </c>
      <c r="C40" s="3" t="n">
        <v>1</v>
      </c>
      <c r="D40" s="3" t="n">
        <v>1</v>
      </c>
      <c r="E40" s="3" t="n">
        <v>1</v>
      </c>
      <c r="F40" s="3" t="n">
        <v>1</v>
      </c>
      <c r="G40" s="3" t="n">
        <v>0</v>
      </c>
      <c r="H40" s="3" t="n">
        <v>1</v>
      </c>
      <c r="I40" s="3" t="n">
        <v>1</v>
      </c>
      <c r="J40" s="3" t="n">
        <v>1</v>
      </c>
      <c r="K40" s="3" t="n">
        <v>1</v>
      </c>
      <c r="L40" s="3" t="n">
        <f aca="false">SUM(B40:K40)</f>
        <v>9</v>
      </c>
      <c r="M40" s="3" t="n">
        <v>1</v>
      </c>
      <c r="N40" s="3" t="n">
        <f aca="false">L40-G40+M40</f>
        <v>10</v>
      </c>
      <c r="O40" s="3" t="n">
        <v>6</v>
      </c>
    </row>
    <row r="41" customFormat="false" ht="14.25" hidden="false" customHeight="true" outlineLevel="0" collapsed="false">
      <c r="A41" s="3" t="s">
        <v>79</v>
      </c>
      <c r="B41" s="3" t="n">
        <v>1</v>
      </c>
      <c r="C41" s="3" t="n">
        <v>1</v>
      </c>
      <c r="D41" s="3" t="n">
        <v>1</v>
      </c>
      <c r="E41" s="3" t="n">
        <v>1</v>
      </c>
      <c r="F41" s="3" t="n">
        <v>1</v>
      </c>
      <c r="G41" s="3" t="n">
        <v>0</v>
      </c>
      <c r="H41" s="3" t="n">
        <v>1</v>
      </c>
      <c r="I41" s="3" t="n">
        <v>1</v>
      </c>
      <c r="J41" s="3" t="n">
        <v>1</v>
      </c>
      <c r="K41" s="3" t="n">
        <v>1</v>
      </c>
      <c r="L41" s="3" t="n">
        <f aca="false">SUM(B41:K41)</f>
        <v>9</v>
      </c>
      <c r="M41" s="3" t="n">
        <v>1</v>
      </c>
      <c r="N41" s="3" t="n">
        <f aca="false">L41-G41+M41</f>
        <v>10</v>
      </c>
      <c r="O41" s="3" t="n">
        <v>6</v>
      </c>
    </row>
    <row r="42" customFormat="false" ht="14.25" hidden="false" customHeight="true" outlineLevel="0" collapsed="false">
      <c r="A42" s="3" t="s">
        <v>80</v>
      </c>
      <c r="B42" s="3" t="n">
        <v>1</v>
      </c>
      <c r="C42" s="3" t="n">
        <v>1</v>
      </c>
      <c r="D42" s="3" t="n">
        <v>1</v>
      </c>
      <c r="E42" s="3" t="n">
        <v>1</v>
      </c>
      <c r="F42" s="3" t="n">
        <v>1</v>
      </c>
      <c r="G42" s="3" t="n">
        <v>0</v>
      </c>
      <c r="H42" s="3" t="n">
        <v>1</v>
      </c>
      <c r="I42" s="3" t="n">
        <v>1</v>
      </c>
      <c r="J42" s="3" t="n">
        <v>1</v>
      </c>
      <c r="K42" s="3" t="n">
        <v>1</v>
      </c>
      <c r="L42" s="3" t="n">
        <f aca="false">SUM(B42:K42)</f>
        <v>9</v>
      </c>
      <c r="M42" s="3" t="n">
        <v>1</v>
      </c>
      <c r="N42" s="3" t="n">
        <f aca="false">L42-G42+M42</f>
        <v>10</v>
      </c>
      <c r="O42" s="3" t="n">
        <v>3</v>
      </c>
    </row>
    <row r="43" customFormat="false" ht="14.25" hidden="false" customHeight="true" outlineLevel="0" collapsed="false">
      <c r="A43" s="3" t="s">
        <v>81</v>
      </c>
      <c r="B43" s="3" t="n">
        <v>1</v>
      </c>
      <c r="C43" s="3" t="n">
        <v>1</v>
      </c>
      <c r="D43" s="3" t="n">
        <v>1</v>
      </c>
      <c r="E43" s="3" t="n">
        <v>1</v>
      </c>
      <c r="F43" s="3" t="n">
        <v>1</v>
      </c>
      <c r="G43" s="3" t="n">
        <v>0</v>
      </c>
      <c r="H43" s="3" t="n">
        <v>1</v>
      </c>
      <c r="I43" s="3" t="n">
        <v>1</v>
      </c>
      <c r="J43" s="3" t="n">
        <v>1</v>
      </c>
      <c r="K43" s="3" t="n">
        <v>1</v>
      </c>
      <c r="L43" s="3" t="n">
        <f aca="false">SUM(B43:K43)</f>
        <v>9</v>
      </c>
      <c r="M43" s="3" t="n">
        <v>1</v>
      </c>
      <c r="N43" s="3" t="n">
        <f aca="false">L43-G43+M43</f>
        <v>10</v>
      </c>
      <c r="O43" s="3" t="n">
        <v>5</v>
      </c>
    </row>
    <row r="44" customFormat="false" ht="14.25" hidden="false" customHeight="true" outlineLevel="0" collapsed="false">
      <c r="A44" s="3" t="s">
        <v>82</v>
      </c>
      <c r="B44" s="3" t="n">
        <v>1</v>
      </c>
      <c r="C44" s="3" t="n">
        <v>1</v>
      </c>
      <c r="D44" s="3" t="n">
        <v>1</v>
      </c>
      <c r="E44" s="3" t="n">
        <v>1</v>
      </c>
      <c r="F44" s="3" t="n">
        <v>1</v>
      </c>
      <c r="G44" s="3" t="n">
        <v>0</v>
      </c>
      <c r="H44" s="3" t="n">
        <v>1</v>
      </c>
      <c r="I44" s="3" t="n">
        <v>1</v>
      </c>
      <c r="J44" s="3" t="n">
        <v>1</v>
      </c>
      <c r="K44" s="3" t="n">
        <v>1</v>
      </c>
      <c r="L44" s="3" t="n">
        <f aca="false">SUM(B44:K44)</f>
        <v>9</v>
      </c>
      <c r="M44" s="3" t="n">
        <v>1</v>
      </c>
      <c r="N44" s="3" t="n">
        <f aca="false">L44-G44+M44</f>
        <v>10</v>
      </c>
      <c r="O44" s="3" t="n">
        <v>5</v>
      </c>
    </row>
    <row r="45" customFormat="false" ht="14.25" hidden="false" customHeight="true" outlineLevel="0" collapsed="false">
      <c r="A45" s="3" t="s">
        <v>83</v>
      </c>
      <c r="B45" s="3" t="n">
        <v>1</v>
      </c>
      <c r="C45" s="3" t="n">
        <v>1</v>
      </c>
      <c r="D45" s="3" t="n">
        <v>1</v>
      </c>
      <c r="E45" s="3" t="n">
        <v>1</v>
      </c>
      <c r="F45" s="3" t="n">
        <v>1</v>
      </c>
      <c r="G45" s="3" t="n">
        <v>0</v>
      </c>
      <c r="H45" s="3" t="n">
        <v>1</v>
      </c>
      <c r="I45" s="3" t="n">
        <v>1</v>
      </c>
      <c r="J45" s="3" t="n">
        <v>1</v>
      </c>
      <c r="K45" s="3" t="n">
        <v>1</v>
      </c>
      <c r="L45" s="3" t="n">
        <f aca="false">SUM(B45:K45)</f>
        <v>9</v>
      </c>
      <c r="M45" s="3" t="n">
        <v>1</v>
      </c>
      <c r="N45" s="3" t="n">
        <f aca="false">L45-G45+M45</f>
        <v>10</v>
      </c>
      <c r="O45" s="3" t="n">
        <v>6</v>
      </c>
    </row>
    <row r="46" customFormat="false" ht="14.25" hidden="false" customHeight="true" outlineLevel="0" collapsed="false">
      <c r="A46" s="3" t="s">
        <v>84</v>
      </c>
      <c r="B46" s="3" t="n">
        <v>1</v>
      </c>
      <c r="C46" s="3" t="n">
        <v>1</v>
      </c>
      <c r="D46" s="3" t="n">
        <v>1</v>
      </c>
      <c r="E46" s="3" t="n">
        <v>1</v>
      </c>
      <c r="F46" s="3" t="n">
        <v>1</v>
      </c>
      <c r="G46" s="3" t="n">
        <v>0</v>
      </c>
      <c r="H46" s="3" t="n">
        <v>1</v>
      </c>
      <c r="I46" s="3" t="n">
        <v>1</v>
      </c>
      <c r="J46" s="3" t="n">
        <v>1</v>
      </c>
      <c r="K46" s="3" t="n">
        <v>1</v>
      </c>
      <c r="L46" s="3" t="n">
        <f aca="false">SUM(B46:K46)</f>
        <v>9</v>
      </c>
      <c r="M46" s="3" t="n">
        <v>1</v>
      </c>
      <c r="N46" s="3" t="n">
        <f aca="false">L46-G46+M46</f>
        <v>10</v>
      </c>
      <c r="O46" s="3" t="n">
        <v>6</v>
      </c>
    </row>
    <row r="47" customFormat="false" ht="14.25" hidden="false" customHeight="true" outlineLevel="0" collapsed="false">
      <c r="A47" s="3" t="s">
        <v>85</v>
      </c>
      <c r="B47" s="3" t="n">
        <v>1</v>
      </c>
      <c r="C47" s="3" t="n">
        <v>1</v>
      </c>
      <c r="D47" s="3" t="n">
        <v>1</v>
      </c>
      <c r="E47" s="3" t="n">
        <v>1</v>
      </c>
      <c r="F47" s="3" t="n">
        <v>1</v>
      </c>
      <c r="G47" s="3" t="n">
        <v>0</v>
      </c>
      <c r="H47" s="3" t="n">
        <v>1</v>
      </c>
      <c r="I47" s="3" t="n">
        <v>1</v>
      </c>
      <c r="J47" s="3" t="n">
        <v>1</v>
      </c>
      <c r="K47" s="3" t="n">
        <v>1</v>
      </c>
      <c r="L47" s="3" t="n">
        <f aca="false">SUM(B47:K47)</f>
        <v>9</v>
      </c>
      <c r="M47" s="3" t="n">
        <v>1</v>
      </c>
      <c r="N47" s="3" t="n">
        <f aca="false">L47-G47+M47</f>
        <v>10</v>
      </c>
      <c r="O47" s="3" t="n">
        <v>7</v>
      </c>
    </row>
    <row r="48" customFormat="false" ht="14.25" hidden="false" customHeight="true" outlineLevel="0" collapsed="false">
      <c r="A48" s="3" t="s">
        <v>86</v>
      </c>
      <c r="B48" s="3" t="n">
        <v>1</v>
      </c>
      <c r="C48" s="3" t="n">
        <v>1</v>
      </c>
      <c r="D48" s="3" t="n">
        <v>1</v>
      </c>
      <c r="E48" s="3" t="n">
        <v>1</v>
      </c>
      <c r="F48" s="3" t="n">
        <v>1</v>
      </c>
      <c r="G48" s="3" t="n">
        <v>0</v>
      </c>
      <c r="H48" s="3" t="n">
        <v>1</v>
      </c>
      <c r="I48" s="3" t="n">
        <v>1</v>
      </c>
      <c r="J48" s="3" t="n">
        <v>1</v>
      </c>
      <c r="K48" s="3" t="n">
        <v>1</v>
      </c>
      <c r="L48" s="3" t="n">
        <f aca="false">SUM(B48:K48)</f>
        <v>9</v>
      </c>
      <c r="M48" s="3" t="n">
        <v>1</v>
      </c>
      <c r="N48" s="3" t="n">
        <f aca="false">L48-G48+M48</f>
        <v>10</v>
      </c>
      <c r="O48" s="3" t="n">
        <v>6</v>
      </c>
    </row>
    <row r="49" customFormat="false" ht="14.25" hidden="false" customHeight="true" outlineLevel="0" collapsed="false">
      <c r="A49" s="3" t="s">
        <v>87</v>
      </c>
      <c r="B49" s="3" t="n">
        <v>1</v>
      </c>
      <c r="C49" s="3" t="n">
        <v>1</v>
      </c>
      <c r="D49" s="3" t="n">
        <v>1</v>
      </c>
      <c r="E49" s="3" t="n">
        <v>1</v>
      </c>
      <c r="F49" s="3" t="n">
        <v>1</v>
      </c>
      <c r="G49" s="3" t="n">
        <v>0</v>
      </c>
      <c r="H49" s="3" t="n">
        <v>1</v>
      </c>
      <c r="I49" s="3" t="n">
        <v>1</v>
      </c>
      <c r="J49" s="3" t="n">
        <v>1</v>
      </c>
      <c r="K49" s="3" t="n">
        <v>1</v>
      </c>
      <c r="L49" s="3" t="n">
        <f aca="false">SUM(B49:K49)</f>
        <v>9</v>
      </c>
      <c r="M49" s="3" t="n">
        <v>1</v>
      </c>
      <c r="N49" s="3" t="n">
        <f aca="false">L49-G49+M49</f>
        <v>10</v>
      </c>
      <c r="O49" s="3" t="n">
        <v>9</v>
      </c>
    </row>
    <row r="50" customFormat="false" ht="14.25" hidden="false" customHeight="true" outlineLevel="0" collapsed="false">
      <c r="A50" s="3" t="s">
        <v>88</v>
      </c>
      <c r="B50" s="3" t="n">
        <v>1</v>
      </c>
      <c r="C50" s="3" t="n">
        <v>1</v>
      </c>
      <c r="D50" s="3" t="n">
        <v>1</v>
      </c>
      <c r="E50" s="3" t="n">
        <v>1</v>
      </c>
      <c r="F50" s="3" t="n">
        <v>1</v>
      </c>
      <c r="G50" s="3" t="n">
        <v>0</v>
      </c>
      <c r="H50" s="3" t="n">
        <v>1</v>
      </c>
      <c r="I50" s="3" t="n">
        <v>1</v>
      </c>
      <c r="J50" s="3" t="n">
        <v>1</v>
      </c>
      <c r="K50" s="3" t="n">
        <v>1</v>
      </c>
      <c r="L50" s="3" t="n">
        <f aca="false">SUM(B50:K50)</f>
        <v>9</v>
      </c>
      <c r="M50" s="3" t="n">
        <v>1</v>
      </c>
      <c r="N50" s="3" t="n">
        <f aca="false">L50-G50+M50</f>
        <v>10</v>
      </c>
      <c r="O50" s="3" t="n">
        <v>2</v>
      </c>
    </row>
    <row r="51" customFormat="false" ht="14.25" hidden="false" customHeight="true" outlineLevel="0" collapsed="false">
      <c r="A51" s="3" t="s">
        <v>89</v>
      </c>
      <c r="B51" s="3" t="n">
        <v>1</v>
      </c>
      <c r="C51" s="3" t="n">
        <v>1</v>
      </c>
      <c r="D51" s="3" t="n">
        <v>1</v>
      </c>
      <c r="E51" s="3" t="n">
        <v>1</v>
      </c>
      <c r="F51" s="3" t="n">
        <v>1</v>
      </c>
      <c r="G51" s="3" t="n">
        <v>0</v>
      </c>
      <c r="H51" s="3" t="n">
        <v>1</v>
      </c>
      <c r="I51" s="3" t="n">
        <v>1</v>
      </c>
      <c r="J51" s="3" t="n">
        <v>1</v>
      </c>
      <c r="K51" s="3" t="n">
        <v>1</v>
      </c>
      <c r="L51" s="3" t="n">
        <f aca="false">SUM(B51:K51)</f>
        <v>9</v>
      </c>
      <c r="M51" s="3" t="n">
        <v>1</v>
      </c>
      <c r="N51" s="3" t="n">
        <f aca="false">L51-G51+M51</f>
        <v>10</v>
      </c>
      <c r="O51" s="3" t="n">
        <v>6</v>
      </c>
    </row>
    <row r="52" customFormat="false" ht="14.25" hidden="false" customHeight="true" outlineLevel="0" collapsed="false">
      <c r="A52" s="3" t="s">
        <v>90</v>
      </c>
      <c r="B52" s="3" t="n">
        <v>1</v>
      </c>
      <c r="C52" s="3" t="n">
        <v>1</v>
      </c>
      <c r="D52" s="3" t="n">
        <v>1</v>
      </c>
      <c r="E52" s="3" t="n">
        <v>1</v>
      </c>
      <c r="F52" s="3" t="n">
        <v>1</v>
      </c>
      <c r="G52" s="3" t="n">
        <v>0</v>
      </c>
      <c r="H52" s="3" t="n">
        <v>1</v>
      </c>
      <c r="I52" s="3" t="n">
        <v>1</v>
      </c>
      <c r="J52" s="3" t="n">
        <v>1</v>
      </c>
      <c r="K52" s="3" t="n">
        <v>1</v>
      </c>
      <c r="L52" s="3" t="n">
        <f aca="false">SUM(B52:K52)</f>
        <v>9</v>
      </c>
      <c r="M52" s="3" t="n">
        <v>0</v>
      </c>
      <c r="N52" s="3" t="n">
        <f aca="false">L52-G52+M52</f>
        <v>9</v>
      </c>
      <c r="O52" s="3" t="n">
        <v>0</v>
      </c>
    </row>
    <row r="53" customFormat="false" ht="14.25" hidden="false" customHeight="true" outlineLevel="0" collapsed="false">
      <c r="A53" s="3" t="s">
        <v>91</v>
      </c>
      <c r="B53" s="3" t="n">
        <v>1</v>
      </c>
      <c r="C53" s="3" t="n">
        <v>1</v>
      </c>
      <c r="D53" s="3" t="n">
        <v>1</v>
      </c>
      <c r="E53" s="3" t="n">
        <v>1</v>
      </c>
      <c r="F53" s="3" t="n">
        <v>1</v>
      </c>
      <c r="G53" s="3" t="n">
        <v>0</v>
      </c>
      <c r="H53" s="3" t="n">
        <v>1</v>
      </c>
      <c r="I53" s="3" t="n">
        <v>1</v>
      </c>
      <c r="J53" s="3" t="n">
        <v>1</v>
      </c>
      <c r="K53" s="3" t="n">
        <v>1</v>
      </c>
      <c r="L53" s="3" t="n">
        <f aca="false">SUM(B53:K53)</f>
        <v>9</v>
      </c>
      <c r="M53" s="3" t="n">
        <v>1</v>
      </c>
      <c r="N53" s="3" t="n">
        <f aca="false">L53-G53+M53</f>
        <v>10</v>
      </c>
      <c r="O53" s="3" t="n">
        <v>6</v>
      </c>
    </row>
    <row r="54" customFormat="false" ht="14.25" hidden="false" customHeight="true" outlineLevel="0" collapsed="false">
      <c r="A54" s="3" t="s">
        <v>92</v>
      </c>
      <c r="B54" s="3" t="n">
        <v>1</v>
      </c>
      <c r="C54" s="3" t="n">
        <v>1</v>
      </c>
      <c r="D54" s="3" t="n">
        <v>1</v>
      </c>
      <c r="E54" s="3" t="n">
        <v>1</v>
      </c>
      <c r="F54" s="3" t="n">
        <v>1</v>
      </c>
      <c r="G54" s="3" t="n">
        <v>0</v>
      </c>
      <c r="H54" s="3" t="n">
        <v>1</v>
      </c>
      <c r="I54" s="3" t="n">
        <v>1</v>
      </c>
      <c r="J54" s="3" t="n">
        <v>1</v>
      </c>
      <c r="K54" s="3" t="n">
        <v>1</v>
      </c>
      <c r="L54" s="3" t="n">
        <f aca="false">SUM(B54:K54)</f>
        <v>9</v>
      </c>
      <c r="M54" s="3" t="n">
        <v>1</v>
      </c>
      <c r="N54" s="3" t="n">
        <f aca="false">L54-G54+M54</f>
        <v>10</v>
      </c>
      <c r="O54" s="3" t="n">
        <v>6</v>
      </c>
    </row>
    <row r="55" customFormat="false" ht="14.25" hidden="false" customHeight="true" outlineLevel="0" collapsed="false">
      <c r="A55" s="3" t="s">
        <v>93</v>
      </c>
      <c r="B55" s="3" t="n">
        <v>1</v>
      </c>
      <c r="C55" s="3" t="n">
        <v>1</v>
      </c>
      <c r="D55" s="3" t="n">
        <v>1</v>
      </c>
      <c r="E55" s="3" t="n">
        <v>1</v>
      </c>
      <c r="F55" s="3" t="n">
        <v>1</v>
      </c>
      <c r="G55" s="3" t="n">
        <v>0</v>
      </c>
      <c r="H55" s="3" t="n">
        <v>1</v>
      </c>
      <c r="I55" s="3" t="n">
        <v>1</v>
      </c>
      <c r="J55" s="3" t="n">
        <v>1</v>
      </c>
      <c r="K55" s="3" t="n">
        <v>1</v>
      </c>
      <c r="L55" s="3" t="n">
        <f aca="false">SUM(B55:K55)</f>
        <v>9</v>
      </c>
      <c r="M55" s="3" t="n">
        <v>1</v>
      </c>
      <c r="N55" s="3" t="n">
        <f aca="false">L55-G55+M55</f>
        <v>10</v>
      </c>
      <c r="O55" s="3" t="n">
        <v>7</v>
      </c>
    </row>
    <row r="56" customFormat="false" ht="14.25" hidden="false" customHeight="true" outlineLevel="0" collapsed="false">
      <c r="A56" s="3" t="s">
        <v>94</v>
      </c>
      <c r="B56" s="3" t="n">
        <v>1</v>
      </c>
      <c r="C56" s="3" t="n">
        <v>1</v>
      </c>
      <c r="D56" s="3" t="n">
        <v>1</v>
      </c>
      <c r="E56" s="3" t="n">
        <v>1</v>
      </c>
      <c r="F56" s="3" t="n">
        <v>1</v>
      </c>
      <c r="G56" s="3" t="n">
        <v>0</v>
      </c>
      <c r="H56" s="3" t="n">
        <v>1</v>
      </c>
      <c r="I56" s="3" t="n">
        <v>1</v>
      </c>
      <c r="J56" s="3" t="n">
        <v>1</v>
      </c>
      <c r="K56" s="3" t="n">
        <v>1</v>
      </c>
      <c r="L56" s="3" t="n">
        <f aca="false">SUM(B56:K56)</f>
        <v>9</v>
      </c>
      <c r="M56" s="3" t="n">
        <v>1</v>
      </c>
      <c r="N56" s="3" t="n">
        <f aca="false">L56-G56+M56</f>
        <v>10</v>
      </c>
      <c r="O56" s="3" t="n">
        <v>6</v>
      </c>
    </row>
    <row r="57" customFormat="false" ht="14.25" hidden="false" customHeight="true" outlineLevel="0" collapsed="false">
      <c r="A57" s="3" t="s">
        <v>95</v>
      </c>
      <c r="B57" s="3" t="n">
        <v>1</v>
      </c>
      <c r="C57" s="3" t="n">
        <v>1</v>
      </c>
      <c r="D57" s="3" t="n">
        <v>1</v>
      </c>
      <c r="E57" s="3" t="n">
        <v>1</v>
      </c>
      <c r="F57" s="3" t="n">
        <v>1</v>
      </c>
      <c r="G57" s="3" t="n">
        <v>0</v>
      </c>
      <c r="H57" s="3" t="n">
        <v>1</v>
      </c>
      <c r="I57" s="3" t="n">
        <v>1</v>
      </c>
      <c r="J57" s="3" t="n">
        <v>1</v>
      </c>
      <c r="K57" s="3" t="n">
        <v>1</v>
      </c>
      <c r="L57" s="3" t="n">
        <f aca="false">SUM(B57:K57)</f>
        <v>9</v>
      </c>
      <c r="M57" s="3" t="n">
        <v>1</v>
      </c>
      <c r="N57" s="3" t="n">
        <f aca="false">L57-G57+M57</f>
        <v>10</v>
      </c>
      <c r="O57" s="3" t="n">
        <v>1</v>
      </c>
    </row>
    <row r="58" customFormat="false" ht="14.25" hidden="false" customHeight="true" outlineLevel="0" collapsed="false">
      <c r="A58" s="3" t="s">
        <v>96</v>
      </c>
      <c r="B58" s="3" t="n">
        <v>1</v>
      </c>
      <c r="C58" s="3" t="n">
        <v>1</v>
      </c>
      <c r="D58" s="3" t="n">
        <v>1</v>
      </c>
      <c r="E58" s="3" t="n">
        <v>1</v>
      </c>
      <c r="F58" s="3" t="n">
        <v>1</v>
      </c>
      <c r="G58" s="3" t="n">
        <v>0</v>
      </c>
      <c r="H58" s="3" t="n">
        <v>1</v>
      </c>
      <c r="I58" s="3" t="n">
        <v>1</v>
      </c>
      <c r="J58" s="3" t="n">
        <v>1</v>
      </c>
      <c r="K58" s="3" t="n">
        <v>1</v>
      </c>
      <c r="L58" s="3" t="n">
        <f aca="false">SUM(B58:K58)</f>
        <v>9</v>
      </c>
      <c r="M58" s="3" t="n">
        <v>1</v>
      </c>
      <c r="N58" s="3" t="n">
        <f aca="false">L58-G58+M58</f>
        <v>10</v>
      </c>
      <c r="O58" s="3" t="n">
        <v>10</v>
      </c>
    </row>
    <row r="59" customFormat="false" ht="14.25" hidden="false" customHeight="true" outlineLevel="0" collapsed="false">
      <c r="A59" s="3" t="s">
        <v>97</v>
      </c>
      <c r="B59" s="3" t="n">
        <v>1</v>
      </c>
      <c r="C59" s="3" t="n">
        <v>1</v>
      </c>
      <c r="D59" s="3" t="n">
        <v>1</v>
      </c>
      <c r="E59" s="3" t="n">
        <v>1</v>
      </c>
      <c r="F59" s="3" t="n">
        <v>1</v>
      </c>
      <c r="G59" s="3" t="n">
        <v>0</v>
      </c>
      <c r="H59" s="3" t="n">
        <v>1</v>
      </c>
      <c r="I59" s="3" t="n">
        <v>1</v>
      </c>
      <c r="J59" s="3" t="n">
        <v>1</v>
      </c>
      <c r="K59" s="3" t="n">
        <v>1</v>
      </c>
      <c r="L59" s="3" t="n">
        <f aca="false">SUM(B59:K59)</f>
        <v>9</v>
      </c>
      <c r="M59" s="3" t="n">
        <v>1</v>
      </c>
      <c r="N59" s="3" t="n">
        <f aca="false">L59-G59+M59</f>
        <v>10</v>
      </c>
      <c r="O59" s="3" t="n">
        <v>10</v>
      </c>
    </row>
    <row r="60" customFormat="false" ht="14.25" hidden="false" customHeight="true" outlineLevel="0" collapsed="false">
      <c r="A60" s="3" t="s">
        <v>98</v>
      </c>
      <c r="B60" s="3" t="n">
        <v>1</v>
      </c>
      <c r="C60" s="3" t="n">
        <v>1</v>
      </c>
      <c r="D60" s="3" t="n">
        <v>1</v>
      </c>
      <c r="E60" s="3" t="n">
        <v>1</v>
      </c>
      <c r="F60" s="3" t="n">
        <v>1</v>
      </c>
      <c r="G60" s="3" t="n">
        <v>0</v>
      </c>
      <c r="H60" s="3" t="n">
        <v>1</v>
      </c>
      <c r="I60" s="3" t="n">
        <v>1</v>
      </c>
      <c r="J60" s="3" t="n">
        <v>1</v>
      </c>
      <c r="K60" s="3" t="n">
        <v>1</v>
      </c>
      <c r="L60" s="3" t="n">
        <f aca="false">SUM(B60:K60)</f>
        <v>9</v>
      </c>
      <c r="M60" s="3" t="n">
        <v>1</v>
      </c>
      <c r="N60" s="3" t="n">
        <f aca="false">L60-G60+M60</f>
        <v>10</v>
      </c>
      <c r="O60" s="3" t="n">
        <v>9</v>
      </c>
    </row>
    <row r="61" customFormat="false" ht="14.25" hidden="false" customHeight="true" outlineLevel="0" collapsed="false">
      <c r="A61" s="3" t="s">
        <v>99</v>
      </c>
      <c r="B61" s="3" t="n">
        <v>1</v>
      </c>
      <c r="C61" s="3" t="n">
        <v>1</v>
      </c>
      <c r="D61" s="3" t="n">
        <v>1</v>
      </c>
      <c r="E61" s="3" t="n">
        <v>1</v>
      </c>
      <c r="F61" s="3" t="n">
        <v>1</v>
      </c>
      <c r="G61" s="3" t="n">
        <v>0</v>
      </c>
      <c r="H61" s="3" t="n">
        <v>1</v>
      </c>
      <c r="I61" s="3" t="n">
        <v>1</v>
      </c>
      <c r="J61" s="3" t="n">
        <v>1</v>
      </c>
      <c r="K61" s="3" t="n">
        <v>1</v>
      </c>
      <c r="L61" s="3" t="n">
        <f aca="false">SUM(B61:K61)</f>
        <v>9</v>
      </c>
      <c r="M61" s="3" t="n">
        <v>1</v>
      </c>
      <c r="N61" s="3" t="n">
        <f aca="false">L61-G61+M61</f>
        <v>10</v>
      </c>
      <c r="O61" s="3" t="n">
        <v>7</v>
      </c>
    </row>
    <row r="62" customFormat="false" ht="14.25" hidden="false" customHeight="true" outlineLevel="0" collapsed="false">
      <c r="A62" s="3" t="s">
        <v>100</v>
      </c>
      <c r="B62" s="3" t="n">
        <v>1</v>
      </c>
      <c r="C62" s="3" t="n">
        <v>1</v>
      </c>
      <c r="D62" s="3" t="n">
        <v>1</v>
      </c>
      <c r="E62" s="3" t="n">
        <v>1</v>
      </c>
      <c r="F62" s="3" t="n">
        <v>1</v>
      </c>
      <c r="G62" s="3" t="n">
        <v>0</v>
      </c>
      <c r="H62" s="3" t="n">
        <v>1</v>
      </c>
      <c r="I62" s="3" t="n">
        <v>1</v>
      </c>
      <c r="J62" s="3" t="n">
        <v>1</v>
      </c>
      <c r="K62" s="3" t="n">
        <v>1</v>
      </c>
      <c r="L62" s="3" t="n">
        <f aca="false">SUM(B62:K62)</f>
        <v>9</v>
      </c>
      <c r="M62" s="3" t="n">
        <v>1</v>
      </c>
      <c r="N62" s="3" t="n">
        <f aca="false">L62-G62+M62</f>
        <v>10</v>
      </c>
      <c r="O62" s="3" t="n">
        <v>5</v>
      </c>
    </row>
    <row r="63" customFormat="false" ht="14.25" hidden="false" customHeight="true" outlineLevel="0" collapsed="false">
      <c r="A63" s="3" t="s">
        <v>101</v>
      </c>
      <c r="B63" s="3" t="n">
        <v>1</v>
      </c>
      <c r="C63" s="3" t="n">
        <v>1</v>
      </c>
      <c r="D63" s="3" t="n">
        <v>1</v>
      </c>
      <c r="E63" s="3" t="n">
        <v>1</v>
      </c>
      <c r="F63" s="3" t="n">
        <v>1</v>
      </c>
      <c r="G63" s="3" t="n">
        <v>0</v>
      </c>
      <c r="H63" s="3" t="n">
        <v>1</v>
      </c>
      <c r="I63" s="3" t="n">
        <v>1</v>
      </c>
      <c r="J63" s="3" t="n">
        <v>1</v>
      </c>
      <c r="K63" s="3" t="n">
        <v>1</v>
      </c>
      <c r="L63" s="3" t="n">
        <f aca="false">SUM(B63:K63)</f>
        <v>9</v>
      </c>
      <c r="M63" s="3" t="n">
        <v>1</v>
      </c>
      <c r="N63" s="3" t="n">
        <f aca="false">L63-G63+M63</f>
        <v>10</v>
      </c>
      <c r="O63" s="3" t="n">
        <v>9</v>
      </c>
    </row>
    <row r="64" customFormat="false" ht="14.25" hidden="false" customHeight="true" outlineLevel="0" collapsed="false">
      <c r="A64" s="3" t="s">
        <v>102</v>
      </c>
      <c r="B64" s="3" t="n">
        <v>1</v>
      </c>
      <c r="C64" s="3" t="n">
        <v>1</v>
      </c>
      <c r="D64" s="3" t="n">
        <v>1</v>
      </c>
      <c r="E64" s="3" t="n">
        <v>1</v>
      </c>
      <c r="F64" s="3" t="n">
        <v>1</v>
      </c>
      <c r="G64" s="3" t="n">
        <v>0</v>
      </c>
      <c r="H64" s="3" t="n">
        <v>1</v>
      </c>
      <c r="I64" s="3" t="n">
        <v>1</v>
      </c>
      <c r="J64" s="3" t="n">
        <v>1</v>
      </c>
      <c r="K64" s="3" t="n">
        <v>1</v>
      </c>
      <c r="L64" s="3" t="n">
        <f aca="false">SUM(B64:K64)</f>
        <v>9</v>
      </c>
      <c r="M64" s="3" t="n">
        <v>1</v>
      </c>
      <c r="N64" s="3" t="n">
        <f aca="false">L64-G64+M64</f>
        <v>10</v>
      </c>
      <c r="O64" s="3" t="n">
        <v>3</v>
      </c>
    </row>
    <row r="65" customFormat="false" ht="14.25" hidden="false" customHeight="true" outlineLevel="0" collapsed="false">
      <c r="A65" s="3" t="s">
        <v>103</v>
      </c>
      <c r="B65" s="3" t="n">
        <v>1</v>
      </c>
      <c r="C65" s="3" t="n">
        <v>1</v>
      </c>
      <c r="D65" s="3" t="n">
        <v>1</v>
      </c>
      <c r="E65" s="3" t="n">
        <v>1</v>
      </c>
      <c r="F65" s="3" t="n">
        <v>1</v>
      </c>
      <c r="G65" s="3" t="n">
        <v>0</v>
      </c>
      <c r="H65" s="3" t="n">
        <v>1</v>
      </c>
      <c r="I65" s="3" t="n">
        <v>1</v>
      </c>
      <c r="J65" s="3" t="n">
        <v>1</v>
      </c>
      <c r="K65" s="3" t="n">
        <v>1</v>
      </c>
      <c r="L65" s="3" t="n">
        <f aca="false">SUM(B65:K65)</f>
        <v>9</v>
      </c>
      <c r="M65" s="3" t="n">
        <v>1</v>
      </c>
      <c r="N65" s="3" t="n">
        <f aca="false">L65-G65+M65</f>
        <v>10</v>
      </c>
      <c r="O65" s="3"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70"/>
    <col collapsed="false" customWidth="true" hidden="false" outlineLevel="0" max="3" min="3" style="1" width="11"/>
    <col collapsed="false" customWidth="true" hidden="false" outlineLevel="0" max="4" min="4" style="1" width="12"/>
    <col collapsed="false" customWidth="true" hidden="false" outlineLevel="0" max="5" min="5" style="1" width="40"/>
  </cols>
  <sheetData>
    <row r="1" customFormat="false" ht="27" hidden="false" customHeight="true" outlineLevel="0" collapsed="false">
      <c r="A1" s="5" t="s">
        <v>104</v>
      </c>
      <c r="B1" s="5" t="s">
        <v>105</v>
      </c>
      <c r="C1" s="5" t="s">
        <v>106</v>
      </c>
      <c r="D1" s="5" t="s">
        <v>107</v>
      </c>
      <c r="E1" s="5" t="s">
        <v>108</v>
      </c>
    </row>
    <row r="2" customFormat="false" ht="14.25" hidden="false" customHeight="true" outlineLevel="0" collapsed="false">
      <c r="A2" s="3" t="s">
        <v>26</v>
      </c>
      <c r="B2" s="3" t="s">
        <v>109</v>
      </c>
      <c r="C2" s="3" t="n">
        <f aca="false">SUM(Quiz_responses!B2:B65)</f>
        <v>63</v>
      </c>
      <c r="D2" s="6" t="n">
        <f aca="false">C2/COUNT(Quiz_responses!B2:B65)</f>
        <v>0.984375</v>
      </c>
      <c r="E2" s="3"/>
    </row>
    <row r="3" customFormat="false" ht="14.25" hidden="false" customHeight="true" outlineLevel="0" collapsed="false">
      <c r="A3" s="3" t="s">
        <v>27</v>
      </c>
      <c r="B3" s="3" t="s">
        <v>110</v>
      </c>
      <c r="C3" s="3" t="n">
        <f aca="false">SUM(Quiz_responses!C2:C65)</f>
        <v>61</v>
      </c>
      <c r="D3" s="6" t="n">
        <f aca="false">C3/COUNT(Quiz_responses!C2:C65)</f>
        <v>0.953125</v>
      </c>
      <c r="E3" s="3"/>
    </row>
    <row r="4" customFormat="false" ht="14.25" hidden="false" customHeight="true" outlineLevel="0" collapsed="false">
      <c r="A4" s="3" t="s">
        <v>28</v>
      </c>
      <c r="B4" s="3" t="s">
        <v>111</v>
      </c>
      <c r="C4" s="3" t="n">
        <f aca="false">SUM(Quiz_responses!D2:D65)</f>
        <v>62</v>
      </c>
      <c r="D4" s="6" t="n">
        <f aca="false">C4/COUNT(Quiz_responses!D2:D65)</f>
        <v>0.96875</v>
      </c>
      <c r="E4" s="3"/>
    </row>
    <row r="5" customFormat="false" ht="14.25" hidden="false" customHeight="true" outlineLevel="0" collapsed="false">
      <c r="A5" s="3" t="s">
        <v>29</v>
      </c>
      <c r="B5" s="3" t="s">
        <v>112</v>
      </c>
      <c r="C5" s="3" t="n">
        <f aca="false">SUM(Quiz_responses!E2:E65)</f>
        <v>63</v>
      </c>
      <c r="D5" s="6" t="n">
        <f aca="false">C5/COUNT(Quiz_responses!E2:E65)</f>
        <v>0.984375</v>
      </c>
      <c r="E5" s="3"/>
    </row>
    <row r="6" customFormat="false" ht="14.25" hidden="false" customHeight="true" outlineLevel="0" collapsed="false">
      <c r="A6" s="3" t="s">
        <v>30</v>
      </c>
      <c r="B6" s="3" t="s">
        <v>113</v>
      </c>
      <c r="C6" s="3" t="n">
        <f aca="false">SUM(Quiz_responses!F2:F65)</f>
        <v>64</v>
      </c>
      <c r="D6" s="6" t="n">
        <f aca="false">C6/COUNT(Quiz_responses!F2:F65)</f>
        <v>1</v>
      </c>
      <c r="E6" s="3"/>
    </row>
    <row r="7" customFormat="false" ht="26.25" hidden="false" customHeight="true" outlineLevel="0" collapsed="false">
      <c r="A7" s="3" t="s">
        <v>31</v>
      </c>
      <c r="B7" s="3" t="s">
        <v>114</v>
      </c>
      <c r="C7" s="3" t="n">
        <f aca="false">SUM(Quiz_responses!M2:M65)</f>
        <v>62</v>
      </c>
      <c r="D7" s="6" t="n">
        <f aca="false">C7/COUNT(Quiz_responses!M2:M65)</f>
        <v>0.96875</v>
      </c>
      <c r="E7" s="3" t="s">
        <v>115</v>
      </c>
    </row>
    <row r="8" customFormat="false" ht="14.25" hidden="false" customHeight="true" outlineLevel="0" collapsed="false">
      <c r="A8" s="3" t="s">
        <v>32</v>
      </c>
      <c r="B8" s="3" t="s">
        <v>116</v>
      </c>
      <c r="C8" s="3" t="n">
        <f aca="false">SUM(Quiz_responses!H2:H65)</f>
        <v>64</v>
      </c>
      <c r="D8" s="6" t="n">
        <f aca="false">C8/COUNT(Quiz_responses!H2:H65)</f>
        <v>1</v>
      </c>
      <c r="E8" s="3"/>
    </row>
    <row r="9" customFormat="false" ht="14.25" hidden="false" customHeight="true" outlineLevel="0" collapsed="false">
      <c r="A9" s="3" t="s">
        <v>33</v>
      </c>
      <c r="B9" s="3" t="s">
        <v>117</v>
      </c>
      <c r="C9" s="3" t="n">
        <f aca="false">SUM(Quiz_responses!I2:I65)</f>
        <v>63</v>
      </c>
      <c r="D9" s="6" t="n">
        <f aca="false">C9/COUNT(Quiz_responses!I2:I65)</f>
        <v>0.984375</v>
      </c>
      <c r="E9" s="3"/>
    </row>
    <row r="10" customFormat="false" ht="14.25" hidden="false" customHeight="true" outlineLevel="0" collapsed="false">
      <c r="A10" s="3" t="s">
        <v>34</v>
      </c>
      <c r="B10" s="3" t="s">
        <v>118</v>
      </c>
      <c r="C10" s="3" t="n">
        <f aca="false">SUM(Quiz_responses!J2:J65)</f>
        <v>63</v>
      </c>
      <c r="D10" s="6" t="n">
        <f aca="false">C10/COUNT(Quiz_responses!J2:J65)</f>
        <v>0.984375</v>
      </c>
      <c r="E10" s="3"/>
    </row>
    <row r="11" customFormat="false" ht="26.25" hidden="false" customHeight="true" outlineLevel="0" collapsed="false">
      <c r="A11" s="3" t="s">
        <v>35</v>
      </c>
      <c r="B11" s="3" t="s">
        <v>119</v>
      </c>
      <c r="C11" s="3" t="n">
        <f aca="false">SUM(Quiz_responses!K2:K65)</f>
        <v>63</v>
      </c>
      <c r="D11" s="6" t="n">
        <f aca="false">C11/COUNT(Quiz_responses!K2:K65)</f>
        <v>0.984375</v>
      </c>
      <c r="E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30"/>
  </cols>
  <sheetData>
    <row r="1" customFormat="false" ht="14.25" hidden="false" customHeight="true" outlineLevel="0" collapsed="false">
      <c r="A1" s="5" t="s">
        <v>120</v>
      </c>
      <c r="B1" s="5" t="s">
        <v>121</v>
      </c>
      <c r="C1" s="5" t="s">
        <v>108</v>
      </c>
    </row>
    <row r="2" customFormat="false" ht="14.25" hidden="false" customHeight="true" outlineLevel="0" collapsed="false">
      <c r="A2" s="3" t="s">
        <v>122</v>
      </c>
      <c r="B2" s="3" t="n">
        <v>75</v>
      </c>
      <c r="C2" s="3" t="s">
        <v>123</v>
      </c>
    </row>
    <row r="3" customFormat="false" ht="14.25" hidden="false" customHeight="true" outlineLevel="0" collapsed="false">
      <c r="A3" s="3" t="s">
        <v>124</v>
      </c>
      <c r="B3" s="3" t="n">
        <f aca="false">COUNT(Quiz_responses!N2:N65)</f>
        <v>64</v>
      </c>
      <c r="C3" s="3"/>
    </row>
    <row r="4" customFormat="false" ht="14.25" hidden="false" customHeight="true" outlineLevel="0" collapsed="false">
      <c r="A4" s="3" t="s">
        <v>125</v>
      </c>
      <c r="B4" s="6" t="n">
        <f aca="false">B3/B2</f>
        <v>0.853333333333333</v>
      </c>
      <c r="C4" s="3"/>
    </row>
    <row r="5" customFormat="false" ht="14.25" hidden="false" customHeight="true" outlineLevel="0" collapsed="false">
      <c r="A5" s="3" t="s">
        <v>126</v>
      </c>
      <c r="B5" s="7" t="n">
        <f aca="false">AVERAGE(Quiz_responses!N2:N65)</f>
        <v>9.8125</v>
      </c>
      <c r="C5" s="3"/>
    </row>
    <row r="6" customFormat="false" ht="14.25" hidden="false" customHeight="true" outlineLevel="0" collapsed="false">
      <c r="A6" s="3" t="s">
        <v>127</v>
      </c>
      <c r="B6" s="7" t="n">
        <f aca="false">STDEV(Quiz_responses!N2:N65)</f>
        <v>1.02159228347262</v>
      </c>
      <c r="C6" s="3" t="s">
        <v>128</v>
      </c>
    </row>
    <row r="7" customFormat="false" ht="14.25" hidden="false" customHeight="true" outlineLevel="0" collapsed="false">
      <c r="A7" s="3" t="s">
        <v>129</v>
      </c>
      <c r="B7" s="7" t="n">
        <f aca="false">MEDIAN(Quiz_responses!N2:N65)</f>
        <v>10</v>
      </c>
      <c r="C7" s="3"/>
    </row>
    <row r="8" customFormat="false" ht="14.25" hidden="false" customHeight="true" outlineLevel="0" collapsed="false">
      <c r="A8" s="3" t="s">
        <v>130</v>
      </c>
      <c r="B8" s="3" t="n">
        <f aca="false">COUNTIF(Quiz_responses!N2:N65,10)</f>
        <v>59</v>
      </c>
      <c r="C8" s="3"/>
    </row>
    <row r="9" customFormat="false" ht="14.25" hidden="false" customHeight="true" outlineLevel="0" collapsed="false">
      <c r="A9" s="3" t="s">
        <v>131</v>
      </c>
      <c r="B9" s="3" t="n">
        <f aca="false">COUNTIF(Quiz_responses!N2:N65,9)</f>
        <v>4</v>
      </c>
      <c r="C9" s="3"/>
    </row>
    <row r="10" customFormat="false" ht="14.25" hidden="false" customHeight="true" outlineLevel="0" collapsed="false">
      <c r="A10" s="3" t="s">
        <v>132</v>
      </c>
      <c r="B10" s="3" t="n">
        <f aca="false">COUNTIF(Quiz_responses!N2:N65,"&lt;9")</f>
        <v>1</v>
      </c>
      <c r="C10" s="3"/>
    </row>
    <row r="11" customFormat="false" ht="14.25" hidden="false" customHeight="true" outlineLevel="0" collapsed="false">
      <c r="A11" s="3" t="s">
        <v>133</v>
      </c>
      <c r="B11" s="6" t="n">
        <f aca="false">B8/B3</f>
        <v>0.921875</v>
      </c>
      <c r="C11" s="3"/>
    </row>
    <row r="12" customFormat="false" ht="14.25" hidden="false" customHeight="true" outlineLevel="0" collapsed="false">
      <c r="A12" s="3" t="s">
        <v>134</v>
      </c>
      <c r="B12" s="7" t="n">
        <f aca="false">AVERAGE(Quiz_responses!L2:L65)</f>
        <v>8.84375</v>
      </c>
      <c r="C12" s="3"/>
    </row>
    <row r="13" customFormat="false" ht="14.25" hidden="false" customHeight="true" outlineLevel="0" collapsed="false">
      <c r="A13" s="3" t="s">
        <v>135</v>
      </c>
      <c r="B13" s="3" t="n">
        <f aca="false">COUNTIF(Quiz_responses!N2:N65,2)</f>
        <v>1</v>
      </c>
      <c r="C13" s="3" t="s">
        <v>136</v>
      </c>
    </row>
    <row r="14" customFormat="false" ht="14.25" hidden="false" customHeight="true" outlineLevel="0" collapsed="false">
      <c r="A14" s="3" t="s">
        <v>137</v>
      </c>
      <c r="B14" s="6" t="n">
        <f aca="false">MIN(Quiz_items!D2:D11)</f>
        <v>0.953125</v>
      </c>
    </row>
    <row r="15" customFormat="false" ht="14.25" hidden="false" customHeight="true" outlineLevel="0" collapsed="false">
      <c r="A15" s="3" t="s">
        <v>138</v>
      </c>
      <c r="B15" s="6" t="n">
        <f aca="false">MAX(Quiz_items!D2:D11)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70"/>
    <col collapsed="false" customWidth="true" hidden="false" outlineLevel="0" max="3" min="3" style="1" width="16"/>
  </cols>
  <sheetData>
    <row r="1" customFormat="false" ht="39" hidden="false" customHeight="true" outlineLevel="0" collapsed="false">
      <c r="A1" s="5" t="s">
        <v>139</v>
      </c>
      <c r="B1" s="5" t="s">
        <v>140</v>
      </c>
      <c r="C1" s="5" t="s">
        <v>141</v>
      </c>
    </row>
    <row r="2" customFormat="false" ht="15" hidden="false" customHeight="true" outlineLevel="0" collapsed="false">
      <c r="A2" s="3" t="s">
        <v>142</v>
      </c>
      <c r="B2" s="8" t="s">
        <v>143</v>
      </c>
      <c r="C2" s="3" t="n">
        <f aca="false">COUNTIFS(Projects!$J$2:$J$30,A2,Projects!$H$2:$H$30,1)</f>
        <v>2</v>
      </c>
    </row>
    <row r="3" customFormat="false" ht="15" hidden="false" customHeight="true" outlineLevel="0" collapsed="false">
      <c r="A3" s="3" t="s">
        <v>144</v>
      </c>
      <c r="B3" s="8" t="s">
        <v>145</v>
      </c>
      <c r="C3" s="3" t="n">
        <f aca="false">COUNTIFS(Projects!$J$2:$J$30,A3,Projects!$H$2:$H$30,1)</f>
        <v>1</v>
      </c>
    </row>
    <row r="4" customFormat="false" ht="15" hidden="false" customHeight="true" outlineLevel="0" collapsed="false">
      <c r="A4" s="3" t="s">
        <v>146</v>
      </c>
      <c r="B4" s="8" t="s">
        <v>147</v>
      </c>
      <c r="C4" s="3" t="n">
        <f aca="false">COUNTIFS(Projects!$J$2:$J$30,A4,Projects!$H$2:$H$30,1)</f>
        <v>1</v>
      </c>
    </row>
    <row r="5" customFormat="false" ht="15" hidden="false" customHeight="true" outlineLevel="0" collapsed="false">
      <c r="A5" s="3" t="s">
        <v>148</v>
      </c>
      <c r="B5" s="8" t="s">
        <v>149</v>
      </c>
      <c r="C5" s="3" t="n">
        <f aca="false">COUNTIFS(Projects!$J$2:$J$30,A5,Projects!$H$2:$H$30,1)</f>
        <v>8</v>
      </c>
    </row>
    <row r="6" customFormat="false" ht="15" hidden="false" customHeight="true" outlineLevel="0" collapsed="false">
      <c r="A6" s="3" t="s">
        <v>150</v>
      </c>
      <c r="B6" s="9" t="s">
        <v>151</v>
      </c>
      <c r="C6" s="3" t="n">
        <f aca="false">COUNTIFS(Projects!$J$2:$J$30,A6,Projects!$H$2:$H$30,1)</f>
        <v>0</v>
      </c>
    </row>
    <row r="7" customFormat="false" ht="15" hidden="false" customHeight="true" outlineLevel="0" collapsed="false">
      <c r="A7" s="3" t="s">
        <v>152</v>
      </c>
      <c r="B7" s="9" t="s">
        <v>151</v>
      </c>
      <c r="C7" s="3" t="n">
        <f aca="false">COUNTIFS(Projects!$J$2:$J$30,A7,Projects!$H$2:$H$30,1)</f>
        <v>0</v>
      </c>
    </row>
    <row r="8" customFormat="false" ht="15" hidden="false" customHeight="true" outlineLevel="0" collapsed="false">
      <c r="A8" s="3" t="s">
        <v>153</v>
      </c>
      <c r="B8" s="8" t="s">
        <v>154</v>
      </c>
      <c r="C8" s="3" t="n">
        <f aca="false">COUNTIFS(Projects!$J$2:$J$30,A8,Projects!$H$2:$H$30,1)</f>
        <v>2</v>
      </c>
    </row>
    <row r="9" customFormat="false" ht="15" hidden="false" customHeight="true" outlineLevel="0" collapsed="false">
      <c r="A9" s="3" t="s">
        <v>155</v>
      </c>
      <c r="B9" s="8" t="s">
        <v>156</v>
      </c>
      <c r="C9" s="3" t="n">
        <f aca="false">COUNTIFS(Projects!$J$2:$J$30,A9,Projects!$H$2:$H$30,1)</f>
        <v>1</v>
      </c>
    </row>
    <row r="10" customFormat="false" ht="15" hidden="false" customHeight="true" outlineLevel="0" collapsed="false">
      <c r="A10" s="3" t="s">
        <v>157</v>
      </c>
      <c r="B10" s="9" t="s">
        <v>151</v>
      </c>
      <c r="C10" s="3" t="n">
        <f aca="false">COUNTIFS(Projects!$J$2:$J$30,A10,Projects!$H$2:$H$30,1)</f>
        <v>0</v>
      </c>
    </row>
    <row r="11" customFormat="false" ht="15" hidden="false" customHeight="true" outlineLevel="0" collapsed="false">
      <c r="A11" s="3" t="s">
        <v>158</v>
      </c>
      <c r="B11" s="8" t="s">
        <v>159</v>
      </c>
      <c r="C11" s="3" t="n">
        <f aca="false">COUNTIFS(Projects!$J$2:$J$30,A11,Projects!$H$2:$H$30,1)</f>
        <v>1</v>
      </c>
    </row>
    <row r="13" customFormat="false" ht="45" hidden="false" customHeight="true" outlineLevel="0" collapsed="false">
      <c r="A13" s="10" t="s">
        <v>160</v>
      </c>
      <c r="B13" s="10"/>
      <c r="C13" s="10"/>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2" min="1" style="1" width="8"/>
    <col collapsed="false" customWidth="true" hidden="false" outlineLevel="0" max="3" min="3" style="1" width="12"/>
    <col collapsed="false" customWidth="true" hidden="false" outlineLevel="0" max="4" min="4" style="1" width="8"/>
    <col collapsed="false" customWidth="true" hidden="false" outlineLevel="0" max="5" min="5" style="1" width="55"/>
    <col collapsed="false" customWidth="true" hidden="false" outlineLevel="0" max="6" min="6" style="1" width="8"/>
    <col collapsed="false" customWidth="true" hidden="false" outlineLevel="0" max="7" min="7" style="1" width="11"/>
    <col collapsed="false" customWidth="true" hidden="false" outlineLevel="0" max="8" min="8" style="1" width="10"/>
    <col collapsed="false" customWidth="true" hidden="false" outlineLevel="0" max="9" min="9" style="1" width="45"/>
    <col collapsed="false" customWidth="true" hidden="false" outlineLevel="0" max="11" min="10" style="1" width="16"/>
  </cols>
  <sheetData>
    <row r="1" customFormat="false" ht="41.25" hidden="false" customHeight="true" outlineLevel="0" collapsed="false">
      <c r="A1" s="5" t="s">
        <v>139</v>
      </c>
      <c r="B1" s="5" t="s">
        <v>161</v>
      </c>
      <c r="C1" s="5" t="s">
        <v>162</v>
      </c>
      <c r="D1" s="5" t="s">
        <v>163</v>
      </c>
      <c r="E1" s="5" t="s">
        <v>164</v>
      </c>
      <c r="F1" s="5" t="s">
        <v>165</v>
      </c>
      <c r="G1" s="5" t="s">
        <v>166</v>
      </c>
      <c r="H1" s="5" t="s">
        <v>167</v>
      </c>
      <c r="I1" s="5" t="s">
        <v>108</v>
      </c>
      <c r="J1" s="5" t="s">
        <v>168</v>
      </c>
      <c r="K1" s="5" t="s">
        <v>169</v>
      </c>
    </row>
    <row r="2" customFormat="false" ht="14.25" hidden="false" customHeight="true" outlineLevel="0" collapsed="false">
      <c r="A2" s="3" t="s">
        <v>170</v>
      </c>
      <c r="B2" s="3" t="s">
        <v>171</v>
      </c>
      <c r="C2" s="3" t="s">
        <v>172</v>
      </c>
      <c r="D2" s="3" t="n">
        <v>4</v>
      </c>
      <c r="E2" s="3" t="s">
        <v>156</v>
      </c>
      <c r="F2" s="3" t="s">
        <v>173</v>
      </c>
      <c r="G2" s="3"/>
      <c r="H2" s="3" t="n">
        <v>1</v>
      </c>
      <c r="I2" s="3"/>
      <c r="J2" s="3" t="s">
        <v>155</v>
      </c>
      <c r="K2" s="11" t="n">
        <f aca="false">IF(H2=1,D2,0)</f>
        <v>4</v>
      </c>
    </row>
    <row r="3" customFormat="false" ht="14.25" hidden="false" customHeight="true" outlineLevel="0" collapsed="false">
      <c r="A3" s="3" t="s">
        <v>174</v>
      </c>
      <c r="B3" s="3" t="s">
        <v>171</v>
      </c>
      <c r="C3" s="3" t="s">
        <v>172</v>
      </c>
      <c r="D3" s="3" t="n">
        <v>3</v>
      </c>
      <c r="E3" s="3" t="s">
        <v>175</v>
      </c>
      <c r="F3" s="3" t="s">
        <v>176</v>
      </c>
      <c r="G3" s="3"/>
      <c r="H3" s="3" t="n">
        <v>1</v>
      </c>
      <c r="I3" s="3"/>
      <c r="J3" s="3" t="s">
        <v>177</v>
      </c>
      <c r="K3" s="11" t="n">
        <f aca="false">IF(H3=1,D3,0)</f>
        <v>3</v>
      </c>
    </row>
    <row r="4" customFormat="false" ht="26.25" hidden="false" customHeight="true" outlineLevel="0" collapsed="false">
      <c r="A4" s="3" t="s">
        <v>178</v>
      </c>
      <c r="B4" s="3" t="s">
        <v>171</v>
      </c>
      <c r="C4" s="3" t="s">
        <v>179</v>
      </c>
      <c r="D4" s="3" t="n">
        <v>3</v>
      </c>
      <c r="E4" s="3" t="s">
        <v>180</v>
      </c>
      <c r="F4" s="3" t="s">
        <v>181</v>
      </c>
      <c r="G4" s="3"/>
      <c r="H4" s="3" t="n">
        <v>1</v>
      </c>
      <c r="I4" s="3" t="s">
        <v>182</v>
      </c>
      <c r="J4" s="3" t="s">
        <v>177</v>
      </c>
      <c r="K4" s="11" t="n">
        <f aca="false">IF(H4=1,D4,0)</f>
        <v>3</v>
      </c>
    </row>
    <row r="5" customFormat="false" ht="14.25" hidden="false" customHeight="true" outlineLevel="0" collapsed="false">
      <c r="A5" s="3" t="s">
        <v>183</v>
      </c>
      <c r="B5" s="3" t="s">
        <v>171</v>
      </c>
      <c r="C5" s="3" t="s">
        <v>179</v>
      </c>
      <c r="D5" s="3" t="n">
        <v>2</v>
      </c>
      <c r="E5" s="3" t="s">
        <v>184</v>
      </c>
      <c r="F5" s="3" t="s">
        <v>185</v>
      </c>
      <c r="G5" s="3"/>
      <c r="H5" s="3" t="n">
        <v>1</v>
      </c>
      <c r="I5" s="3"/>
      <c r="J5" s="3" t="s">
        <v>148</v>
      </c>
      <c r="K5" s="11" t="n">
        <f aca="false">IF(H5=1,D5,0)</f>
        <v>2</v>
      </c>
    </row>
    <row r="6" customFormat="false" ht="26.25" hidden="false" customHeight="true" outlineLevel="0" collapsed="false">
      <c r="A6" s="3" t="s">
        <v>186</v>
      </c>
      <c r="B6" s="3" t="s">
        <v>171</v>
      </c>
      <c r="C6" s="3" t="s">
        <v>179</v>
      </c>
      <c r="D6" s="3" t="n">
        <v>4</v>
      </c>
      <c r="E6" s="3" t="s">
        <v>143</v>
      </c>
      <c r="F6" s="3" t="s">
        <v>173</v>
      </c>
      <c r="G6" s="3"/>
      <c r="H6" s="3" t="n">
        <v>1</v>
      </c>
      <c r="I6" s="3"/>
      <c r="J6" s="3" t="s">
        <v>142</v>
      </c>
      <c r="K6" s="11" t="n">
        <f aca="false">IF(H6=1,D6,0)</f>
        <v>4</v>
      </c>
    </row>
    <row r="7" customFormat="false" ht="26.25" hidden="false" customHeight="true" outlineLevel="0" collapsed="false">
      <c r="A7" s="3" t="s">
        <v>187</v>
      </c>
      <c r="B7" s="3" t="s">
        <v>171</v>
      </c>
      <c r="C7" s="3" t="s">
        <v>179</v>
      </c>
      <c r="D7" s="3" t="n">
        <v>4</v>
      </c>
      <c r="E7" s="3" t="s">
        <v>143</v>
      </c>
      <c r="F7" s="3" t="s">
        <v>173</v>
      </c>
      <c r="G7" s="3" t="s">
        <v>186</v>
      </c>
      <c r="H7" s="3" t="n">
        <v>0</v>
      </c>
      <c r="I7" s="3" t="s">
        <v>188</v>
      </c>
      <c r="J7" s="3" t="s">
        <v>142</v>
      </c>
      <c r="K7" s="11" t="n">
        <f aca="false">IF(H7=1,D7,0)</f>
        <v>0</v>
      </c>
    </row>
    <row r="8" customFormat="false" ht="26.25" hidden="false" customHeight="true" outlineLevel="0" collapsed="false">
      <c r="A8" s="3" t="s">
        <v>189</v>
      </c>
      <c r="B8" s="3" t="s">
        <v>171</v>
      </c>
      <c r="C8" s="3" t="s">
        <v>179</v>
      </c>
      <c r="D8" s="3" t="n">
        <v>3</v>
      </c>
      <c r="E8" s="3" t="s">
        <v>190</v>
      </c>
      <c r="F8" s="3" t="s">
        <v>191</v>
      </c>
      <c r="G8" s="3"/>
      <c r="H8" s="3" t="n">
        <v>1</v>
      </c>
      <c r="I8" s="3" t="s">
        <v>192</v>
      </c>
      <c r="J8" s="3" t="s">
        <v>177</v>
      </c>
      <c r="K8" s="11" t="n">
        <f aca="false">IF(H8=1,D8,0)</f>
        <v>3</v>
      </c>
    </row>
    <row r="9" customFormat="false" ht="14.25" hidden="false" customHeight="true" outlineLevel="0" collapsed="false">
      <c r="A9" s="3" t="s">
        <v>193</v>
      </c>
      <c r="B9" s="3" t="s">
        <v>171</v>
      </c>
      <c r="C9" s="3" t="s">
        <v>179</v>
      </c>
      <c r="D9" s="3" t="n">
        <v>2</v>
      </c>
      <c r="E9" s="3" t="s">
        <v>194</v>
      </c>
      <c r="F9" s="3" t="s">
        <v>185</v>
      </c>
      <c r="G9" s="3"/>
      <c r="H9" s="3" t="n">
        <v>1</v>
      </c>
      <c r="I9" s="3"/>
      <c r="J9" s="3" t="s">
        <v>148</v>
      </c>
      <c r="K9" s="11" t="n">
        <f aca="false">IF(H9=1,D9,0)</f>
        <v>2</v>
      </c>
    </row>
    <row r="10" customFormat="false" ht="14.25" hidden="false" customHeight="true" outlineLevel="0" collapsed="false">
      <c r="A10" s="3" t="s">
        <v>195</v>
      </c>
      <c r="B10" s="3" t="s">
        <v>171</v>
      </c>
      <c r="C10" s="3" t="s">
        <v>179</v>
      </c>
      <c r="D10" s="3" t="n">
        <v>1</v>
      </c>
      <c r="E10" s="3" t="s">
        <v>196</v>
      </c>
      <c r="F10" s="3" t="s">
        <v>185</v>
      </c>
      <c r="G10" s="3"/>
      <c r="H10" s="3" t="n">
        <v>1</v>
      </c>
      <c r="I10" s="3"/>
      <c r="J10" s="3" t="s">
        <v>148</v>
      </c>
      <c r="K10" s="11" t="n">
        <f aca="false">IF(H10=1,D10,0)</f>
        <v>1</v>
      </c>
    </row>
    <row r="11" customFormat="false" ht="26.25" hidden="false" customHeight="true" outlineLevel="0" collapsed="false">
      <c r="A11" s="3" t="s">
        <v>197</v>
      </c>
      <c r="B11" s="3" t="s">
        <v>171</v>
      </c>
      <c r="C11" s="3" t="s">
        <v>179</v>
      </c>
      <c r="D11" s="3" t="n">
        <v>4</v>
      </c>
      <c r="E11" s="3" t="s">
        <v>198</v>
      </c>
      <c r="F11" s="3" t="s">
        <v>173</v>
      </c>
      <c r="G11" s="3"/>
      <c r="H11" s="3" t="n">
        <v>1</v>
      </c>
      <c r="I11" s="3" t="s">
        <v>199</v>
      </c>
      <c r="J11" s="3" t="s">
        <v>158</v>
      </c>
      <c r="K11" s="11" t="n">
        <f aca="false">IF(H11=1,D11,0)</f>
        <v>4</v>
      </c>
    </row>
    <row r="12" customFormat="false" ht="14.25" hidden="false" customHeight="true" outlineLevel="0" collapsed="false">
      <c r="A12" s="3" t="s">
        <v>200</v>
      </c>
      <c r="B12" s="3" t="s">
        <v>171</v>
      </c>
      <c r="C12" s="3" t="s">
        <v>201</v>
      </c>
      <c r="D12" s="3" t="n">
        <v>1</v>
      </c>
      <c r="E12" s="3" t="s">
        <v>149</v>
      </c>
      <c r="F12" s="3" t="s">
        <v>185</v>
      </c>
      <c r="G12" s="3"/>
      <c r="H12" s="3" t="n">
        <v>1</v>
      </c>
      <c r="I12" s="3"/>
      <c r="J12" s="3" t="s">
        <v>148</v>
      </c>
      <c r="K12" s="11" t="n">
        <f aca="false">IF(H12=1,D12,0)</f>
        <v>1</v>
      </c>
    </row>
    <row r="13" customFormat="false" ht="14.25" hidden="false" customHeight="true" outlineLevel="0" collapsed="false">
      <c r="A13" s="3" t="s">
        <v>202</v>
      </c>
      <c r="B13" s="3" t="s">
        <v>171</v>
      </c>
      <c r="C13" s="3" t="s">
        <v>201</v>
      </c>
      <c r="D13" s="3" t="n">
        <v>4</v>
      </c>
      <c r="E13" s="3" t="s">
        <v>145</v>
      </c>
      <c r="F13" s="3" t="s">
        <v>181</v>
      </c>
      <c r="G13" s="3"/>
      <c r="H13" s="3" t="n">
        <v>1</v>
      </c>
      <c r="I13" s="3"/>
      <c r="J13" s="3" t="s">
        <v>144</v>
      </c>
      <c r="K13" s="11" t="n">
        <f aca="false">IF(H13=1,D13,0)</f>
        <v>4</v>
      </c>
    </row>
    <row r="14" customFormat="false" ht="14.25" hidden="false" customHeight="true" outlineLevel="0" collapsed="false">
      <c r="A14" s="3" t="s">
        <v>203</v>
      </c>
      <c r="B14" s="3" t="s">
        <v>171</v>
      </c>
      <c r="C14" s="3" t="s">
        <v>201</v>
      </c>
      <c r="D14" s="3" t="n">
        <v>3</v>
      </c>
      <c r="E14" s="3" t="s">
        <v>204</v>
      </c>
      <c r="F14" s="3" t="s">
        <v>173</v>
      </c>
      <c r="G14" s="3"/>
      <c r="H14" s="3" t="n">
        <v>1</v>
      </c>
      <c r="I14" s="3" t="s">
        <v>205</v>
      </c>
      <c r="J14" s="3" t="s">
        <v>177</v>
      </c>
      <c r="K14" s="12" t="n">
        <v>2</v>
      </c>
    </row>
    <row r="15" customFormat="false" ht="26.25" hidden="false" customHeight="true" outlineLevel="0" collapsed="false">
      <c r="A15" s="3" t="s">
        <v>206</v>
      </c>
      <c r="B15" s="3" t="s">
        <v>171</v>
      </c>
      <c r="C15" s="3" t="s">
        <v>201</v>
      </c>
      <c r="D15" s="3" t="n">
        <v>3</v>
      </c>
      <c r="E15" s="3" t="s">
        <v>143</v>
      </c>
      <c r="F15" s="3" t="s">
        <v>173</v>
      </c>
      <c r="G15" s="3"/>
      <c r="H15" s="3" t="n">
        <v>1</v>
      </c>
      <c r="I15" s="3" t="s">
        <v>207</v>
      </c>
      <c r="J15" s="3" t="s">
        <v>142</v>
      </c>
      <c r="K15" s="11" t="n">
        <f aca="false">IF(H15=1,D15,0)</f>
        <v>3</v>
      </c>
    </row>
    <row r="16" customFormat="false" ht="14.25" hidden="false" customHeight="true" outlineLevel="0" collapsed="false">
      <c r="A16" s="3" t="s">
        <v>208</v>
      </c>
      <c r="B16" s="3" t="s">
        <v>171</v>
      </c>
      <c r="C16" s="3" t="s">
        <v>209</v>
      </c>
      <c r="D16" s="3" t="n">
        <v>2</v>
      </c>
      <c r="E16" s="3" t="s">
        <v>210</v>
      </c>
      <c r="F16" s="3" t="s">
        <v>185</v>
      </c>
      <c r="G16" s="3"/>
      <c r="H16" s="3" t="n">
        <v>1</v>
      </c>
      <c r="I16" s="3"/>
      <c r="J16" s="3" t="s">
        <v>148</v>
      </c>
      <c r="K16" s="11" t="n">
        <f aca="false">IF(H16=1,D16,0)</f>
        <v>2</v>
      </c>
    </row>
    <row r="17" customFormat="false" ht="14.25" hidden="false" customHeight="true" outlineLevel="0" collapsed="false">
      <c r="A17" s="3" t="s">
        <v>211</v>
      </c>
      <c r="B17" s="3" t="s">
        <v>171</v>
      </c>
      <c r="C17" s="3" t="s">
        <v>209</v>
      </c>
      <c r="D17" s="3" t="n">
        <v>3</v>
      </c>
      <c r="E17" s="3" t="s">
        <v>212</v>
      </c>
      <c r="F17" s="3" t="s">
        <v>185</v>
      </c>
      <c r="G17" s="3"/>
      <c r="H17" s="3" t="n">
        <v>1</v>
      </c>
      <c r="I17" s="3"/>
      <c r="J17" s="3" t="s">
        <v>148</v>
      </c>
      <c r="K17" s="11" t="n">
        <f aca="false">IF(H17=1,D17,0)</f>
        <v>3</v>
      </c>
    </row>
    <row r="18" customFormat="false" ht="26.25" hidden="false" customHeight="true" outlineLevel="0" collapsed="false">
      <c r="A18" s="3" t="s">
        <v>213</v>
      </c>
      <c r="B18" s="3" t="s">
        <v>171</v>
      </c>
      <c r="C18" s="3" t="s">
        <v>214</v>
      </c>
      <c r="D18" s="3" t="n">
        <v>1</v>
      </c>
      <c r="E18" s="3" t="s">
        <v>215</v>
      </c>
      <c r="F18" s="3" t="s">
        <v>173</v>
      </c>
      <c r="G18" s="3"/>
      <c r="H18" s="3" t="n">
        <v>1</v>
      </c>
      <c r="I18" s="3" t="s">
        <v>216</v>
      </c>
      <c r="J18" s="3" t="s">
        <v>177</v>
      </c>
      <c r="K18" s="11" t="n">
        <f aca="false">IF(H18=1,D18,0)</f>
        <v>1</v>
      </c>
    </row>
    <row r="19" customFormat="false" ht="14.25" hidden="false" customHeight="true" outlineLevel="0" collapsed="false">
      <c r="A19" s="3" t="s">
        <v>217</v>
      </c>
      <c r="B19" s="3" t="s">
        <v>218</v>
      </c>
      <c r="C19" s="3" t="s">
        <v>179</v>
      </c>
      <c r="D19" s="3" t="n">
        <v>3</v>
      </c>
      <c r="E19" s="3" t="s">
        <v>219</v>
      </c>
      <c r="F19" s="3" t="s">
        <v>181</v>
      </c>
      <c r="G19" s="3"/>
      <c r="H19" s="3" t="n">
        <v>1</v>
      </c>
      <c r="I19" s="3" t="s">
        <v>220</v>
      </c>
      <c r="J19" s="3" t="s">
        <v>153</v>
      </c>
      <c r="K19" s="11" t="n">
        <f aca="false">IF(H19=1,D19,0)</f>
        <v>3</v>
      </c>
    </row>
    <row r="20" customFormat="false" ht="26.25" hidden="false" customHeight="true" outlineLevel="0" collapsed="false">
      <c r="A20" s="3" t="s">
        <v>221</v>
      </c>
      <c r="B20" s="3" t="s">
        <v>218</v>
      </c>
      <c r="C20" s="3" t="s">
        <v>209</v>
      </c>
      <c r="D20" s="3" t="n">
        <v>3</v>
      </c>
      <c r="E20" s="3" t="s">
        <v>222</v>
      </c>
      <c r="F20" s="3" t="s">
        <v>181</v>
      </c>
      <c r="G20" s="3"/>
      <c r="H20" s="3" t="n">
        <v>1</v>
      </c>
      <c r="I20" s="3" t="s">
        <v>223</v>
      </c>
      <c r="J20" s="3" t="s">
        <v>177</v>
      </c>
      <c r="K20" s="11" t="n">
        <f aca="false">IF(H20=1,D20,0)</f>
        <v>3</v>
      </c>
    </row>
    <row r="21" customFormat="false" ht="14.25" hidden="false" customHeight="true" outlineLevel="0" collapsed="false">
      <c r="A21" s="3" t="s">
        <v>224</v>
      </c>
      <c r="B21" s="3" t="s">
        <v>218</v>
      </c>
      <c r="C21" s="3" t="s">
        <v>225</v>
      </c>
      <c r="D21" s="3" t="n">
        <v>2</v>
      </c>
      <c r="E21" s="3" t="s">
        <v>212</v>
      </c>
      <c r="F21" s="3" t="s">
        <v>185</v>
      </c>
      <c r="G21" s="3"/>
      <c r="H21" s="3" t="n">
        <v>1</v>
      </c>
      <c r="I21" s="3"/>
      <c r="J21" s="3" t="s">
        <v>148</v>
      </c>
      <c r="K21" s="11" t="n">
        <f aca="false">IF(H21=1,D21,0)</f>
        <v>2</v>
      </c>
    </row>
    <row r="22" customFormat="false" ht="14.25" hidden="false" customHeight="true" outlineLevel="0" collapsed="false">
      <c r="A22" s="3" t="s">
        <v>226</v>
      </c>
      <c r="B22" s="3" t="s">
        <v>218</v>
      </c>
      <c r="C22" s="3" t="s">
        <v>227</v>
      </c>
      <c r="D22" s="3" t="n">
        <v>3</v>
      </c>
      <c r="E22" s="3" t="s">
        <v>147</v>
      </c>
      <c r="F22" s="3" t="s">
        <v>228</v>
      </c>
      <c r="G22" s="3"/>
      <c r="H22" s="3" t="n">
        <v>1</v>
      </c>
      <c r="I22" s="3"/>
      <c r="J22" s="3" t="s">
        <v>146</v>
      </c>
      <c r="K22" s="11" t="n">
        <f aca="false">IF(H22=1,D22,0)</f>
        <v>3</v>
      </c>
    </row>
    <row r="23" customFormat="false" ht="14.25" hidden="false" customHeight="true" outlineLevel="0" collapsed="false">
      <c r="A23" s="3" t="s">
        <v>229</v>
      </c>
      <c r="B23" s="3" t="s">
        <v>218</v>
      </c>
      <c r="C23" s="3" t="s">
        <v>214</v>
      </c>
      <c r="D23" s="3" t="n">
        <v>3</v>
      </c>
      <c r="E23" s="3" t="s">
        <v>230</v>
      </c>
      <c r="F23" s="3" t="s">
        <v>181</v>
      </c>
      <c r="G23" s="3"/>
      <c r="H23" s="3" t="n">
        <v>1</v>
      </c>
      <c r="I23" s="3"/>
      <c r="J23" s="3" t="s">
        <v>177</v>
      </c>
      <c r="K23" s="11" t="n">
        <f aca="false">IF(H23=1,D23,0)</f>
        <v>3</v>
      </c>
    </row>
    <row r="24" customFormat="false" ht="14.25" hidden="false" customHeight="true" outlineLevel="0" collapsed="false">
      <c r="A24" s="3" t="s">
        <v>231</v>
      </c>
      <c r="B24" s="3" t="s">
        <v>218</v>
      </c>
      <c r="C24" s="3" t="s">
        <v>214</v>
      </c>
      <c r="D24" s="3" t="n">
        <v>4</v>
      </c>
      <c r="E24" s="3" t="s">
        <v>232</v>
      </c>
      <c r="F24" s="3" t="s">
        <v>233</v>
      </c>
      <c r="G24" s="3"/>
      <c r="H24" s="3" t="n">
        <v>1</v>
      </c>
      <c r="I24" s="3" t="s">
        <v>234</v>
      </c>
      <c r="J24" s="3" t="s">
        <v>177</v>
      </c>
      <c r="K24" s="11" t="n">
        <f aca="false">IF(H24=1,D24,0)</f>
        <v>4</v>
      </c>
    </row>
    <row r="25" customFormat="false" ht="23.25" hidden="false" customHeight="true" outlineLevel="0" collapsed="false">
      <c r="A25" s="3" t="s">
        <v>235</v>
      </c>
      <c r="B25" s="3" t="s">
        <v>218</v>
      </c>
      <c r="C25" s="3" t="s">
        <v>214</v>
      </c>
      <c r="D25" s="3" t="n">
        <v>4</v>
      </c>
      <c r="E25" s="3" t="s">
        <v>232</v>
      </c>
      <c r="F25" s="3" t="s">
        <v>233</v>
      </c>
      <c r="G25" s="3" t="s">
        <v>231</v>
      </c>
      <c r="H25" s="3" t="n">
        <v>0</v>
      </c>
      <c r="I25" s="3" t="s">
        <v>236</v>
      </c>
      <c r="J25" s="3" t="s">
        <v>177</v>
      </c>
      <c r="K25" s="11" t="n">
        <f aca="false">IF(H25=1,D25,0)</f>
        <v>0</v>
      </c>
    </row>
    <row r="26" customFormat="false" ht="14.25" hidden="false" customHeight="true" outlineLevel="0" collapsed="false">
      <c r="A26" s="3" t="s">
        <v>237</v>
      </c>
      <c r="B26" s="3" t="s">
        <v>218</v>
      </c>
      <c r="C26" s="3" t="s">
        <v>238</v>
      </c>
      <c r="D26" s="3" t="n">
        <v>4</v>
      </c>
      <c r="E26" s="3" t="s">
        <v>239</v>
      </c>
      <c r="F26" s="3" t="s">
        <v>191</v>
      </c>
      <c r="G26" s="3"/>
      <c r="H26" s="3" t="n">
        <v>1</v>
      </c>
      <c r="I26" s="3" t="s">
        <v>240</v>
      </c>
      <c r="J26" s="3" t="s">
        <v>177</v>
      </c>
      <c r="K26" s="11" t="n">
        <f aca="false">IF(H26=1,D26,0)</f>
        <v>4</v>
      </c>
    </row>
    <row r="27" customFormat="false" ht="26.25" hidden="false" customHeight="true" outlineLevel="0" collapsed="false">
      <c r="A27" s="3" t="s">
        <v>241</v>
      </c>
      <c r="B27" s="3" t="s">
        <v>218</v>
      </c>
      <c r="C27" s="3" t="s">
        <v>238</v>
      </c>
      <c r="D27" s="3" t="n">
        <v>4</v>
      </c>
      <c r="E27" s="3" t="s">
        <v>242</v>
      </c>
      <c r="F27" s="3" t="s">
        <v>233</v>
      </c>
      <c r="G27" s="3"/>
      <c r="H27" s="3" t="n">
        <v>1</v>
      </c>
      <c r="I27" s="3" t="s">
        <v>243</v>
      </c>
      <c r="J27" s="3" t="s">
        <v>177</v>
      </c>
      <c r="K27" s="11" t="n">
        <f aca="false">IF(H27=1,D27,0)</f>
        <v>4</v>
      </c>
    </row>
    <row r="28" customFormat="false" ht="14.25" hidden="false" customHeight="true" outlineLevel="0" collapsed="false">
      <c r="A28" s="3" t="s">
        <v>244</v>
      </c>
      <c r="B28" s="3" t="s">
        <v>218</v>
      </c>
      <c r="C28" s="3" t="s">
        <v>238</v>
      </c>
      <c r="D28" s="3" t="n">
        <v>3</v>
      </c>
      <c r="E28" s="3" t="s">
        <v>149</v>
      </c>
      <c r="F28" s="3" t="s">
        <v>185</v>
      </c>
      <c r="G28" s="3"/>
      <c r="H28" s="3" t="n">
        <v>1</v>
      </c>
      <c r="I28" s="3"/>
      <c r="J28" s="3" t="s">
        <v>148</v>
      </c>
      <c r="K28" s="11" t="n">
        <f aca="false">IF(H28=1,D28,0)</f>
        <v>3</v>
      </c>
    </row>
    <row r="29" customFormat="false" ht="26.25" hidden="false" customHeight="true" outlineLevel="0" collapsed="false">
      <c r="A29" s="3" t="s">
        <v>245</v>
      </c>
      <c r="B29" s="3" t="s">
        <v>218</v>
      </c>
      <c r="C29" s="3" t="s">
        <v>238</v>
      </c>
      <c r="D29" s="3" t="n">
        <v>4</v>
      </c>
      <c r="E29" s="3" t="s">
        <v>246</v>
      </c>
      <c r="F29" s="3" t="s">
        <v>181</v>
      </c>
      <c r="G29" s="3"/>
      <c r="H29" s="3" t="n">
        <v>1</v>
      </c>
      <c r="I29" s="3" t="s">
        <v>247</v>
      </c>
      <c r="J29" s="3" t="s">
        <v>153</v>
      </c>
      <c r="K29" s="12" t="n">
        <v>0</v>
      </c>
    </row>
    <row r="30" customFormat="false" ht="26.25" hidden="false" customHeight="true" outlineLevel="0" collapsed="false">
      <c r="A30" s="3" t="s">
        <v>248</v>
      </c>
      <c r="B30" s="3" t="s">
        <v>218</v>
      </c>
      <c r="C30" s="3" t="s">
        <v>249</v>
      </c>
      <c r="D30" s="3" t="n">
        <v>1</v>
      </c>
      <c r="E30" s="3" t="s">
        <v>250</v>
      </c>
      <c r="F30" s="3" t="s">
        <v>228</v>
      </c>
      <c r="G30" s="3" t="s">
        <v>226</v>
      </c>
      <c r="H30" s="3" t="n">
        <v>0</v>
      </c>
      <c r="I30" s="3" t="s">
        <v>251</v>
      </c>
      <c r="J30" s="3" t="s">
        <v>146</v>
      </c>
      <c r="K30" s="11" t="n">
        <f aca="false">IF(H30=1,D30,0)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2" activeCellId="0" sqref="E22"/>
    </sheetView>
  </sheetViews>
  <sheetFormatPr defaultColWidth="8.66796875" defaultRowHeight="14.25" zeroHeight="false" outlineLevelRow="0" outlineLevelCol="0"/>
  <cols>
    <col collapsed="false" customWidth="true" hidden="false" outlineLevel="0" max="1" min="1" style="1" width="24"/>
    <col collapsed="false" customWidth="true" hidden="false" outlineLevel="0" max="3" min="2" style="1" width="11"/>
    <col collapsed="false" customWidth="true" hidden="false" outlineLevel="0" max="4" min="4" style="1" width="9"/>
    <col collapsed="false" customWidth="true" hidden="false" outlineLevel="0" max="5" min="5" style="1" width="40"/>
  </cols>
  <sheetData>
    <row r="1" customFormat="false" ht="14.25" hidden="false" customHeight="true" outlineLevel="0" collapsed="false">
      <c r="A1" s="5" t="s">
        <v>165</v>
      </c>
      <c r="B1" s="5" t="s">
        <v>252</v>
      </c>
      <c r="C1" s="5" t="s">
        <v>253</v>
      </c>
      <c r="D1" s="5" t="s">
        <v>254</v>
      </c>
      <c r="E1" s="5" t="s">
        <v>255</v>
      </c>
    </row>
    <row r="2" customFormat="false" ht="14.25" hidden="false" customHeight="true" outlineLevel="0" collapsed="false">
      <c r="A2" s="3" t="s">
        <v>181</v>
      </c>
      <c r="B2" s="3" t="n">
        <f aca="false">COUNTIFS(Projects!$F$2:$F$30,$A2,Projects!$B$2:$B$30,"A",Projects!$H$2:$H$30,1)</f>
        <v>2</v>
      </c>
      <c r="C2" s="3" t="n">
        <f aca="false">COUNTIFS(Projects!$F$2:$F$30,$A2,Projects!$B$2:$B$30,"B",Projects!$H$2:$H$30,1)</f>
        <v>4</v>
      </c>
      <c r="D2" s="3" t="n">
        <f aca="false">B2+C2</f>
        <v>6</v>
      </c>
      <c r="E2" s="6" t="n">
        <f aca="false">D2/$D$10</f>
        <v>0.230769230769231</v>
      </c>
    </row>
    <row r="3" customFormat="false" ht="14.25" hidden="false" customHeight="true" outlineLevel="0" collapsed="false">
      <c r="A3" s="3" t="s">
        <v>185</v>
      </c>
      <c r="B3" s="3" t="n">
        <f aca="false">COUNTIFS(Projects!$F$2:$F$30,$A3,Projects!$B$2:$B$30,"A",Projects!$H$2:$H$30,1)</f>
        <v>6</v>
      </c>
      <c r="C3" s="3" t="n">
        <f aca="false">COUNTIFS(Projects!$F$2:$F$30,$A3,Projects!$B$2:$B$30,"B",Projects!$H$2:$H$30,1)</f>
        <v>2</v>
      </c>
      <c r="D3" s="3" t="n">
        <f aca="false">B3+C3</f>
        <v>8</v>
      </c>
      <c r="E3" s="6" t="n">
        <f aca="false">D3/$D$10</f>
        <v>0.307692307692308</v>
      </c>
    </row>
    <row r="4" customFormat="false" ht="14.25" hidden="false" customHeight="true" outlineLevel="0" collapsed="false">
      <c r="A4" s="3" t="s">
        <v>173</v>
      </c>
      <c r="B4" s="3" t="n">
        <f aca="false">COUNTIFS(Projects!$F$2:$F$30,$A4,Projects!$B$2:$B$30,"A",Projects!$H$2:$H$30,1)</f>
        <v>6</v>
      </c>
      <c r="C4" s="3" t="n">
        <f aca="false">COUNTIFS(Projects!$F$2:$F$30,$A4,Projects!$B$2:$B$30,"B",Projects!$H$2:$H$30,1)</f>
        <v>0</v>
      </c>
      <c r="D4" s="3" t="n">
        <f aca="false">B4+C4</f>
        <v>6</v>
      </c>
      <c r="E4" s="6" t="n">
        <f aca="false">D4/$D$10</f>
        <v>0.230769230769231</v>
      </c>
    </row>
    <row r="5" customFormat="false" ht="14.25" hidden="false" customHeight="true" outlineLevel="0" collapsed="false">
      <c r="A5" s="3" t="s">
        <v>176</v>
      </c>
      <c r="B5" s="3" t="n">
        <f aca="false">COUNTIFS(Projects!$F$2:$F$30,$A5,Projects!$B$2:$B$30,"A",Projects!$H$2:$H$30,1)</f>
        <v>1</v>
      </c>
      <c r="C5" s="3" t="n">
        <f aca="false">COUNTIFS(Projects!$F$2:$F$30,$A5,Projects!$B$2:$B$30,"B",Projects!$H$2:$H$30,1)</f>
        <v>0</v>
      </c>
      <c r="D5" s="3" t="n">
        <f aca="false">B5+C5</f>
        <v>1</v>
      </c>
      <c r="E5" s="6" t="n">
        <f aca="false">D5/$D$10</f>
        <v>0.0384615384615385</v>
      </c>
    </row>
    <row r="6" customFormat="false" ht="14.25" hidden="false" customHeight="true" outlineLevel="0" collapsed="false">
      <c r="A6" s="3" t="s">
        <v>191</v>
      </c>
      <c r="B6" s="3" t="n">
        <f aca="false">COUNTIFS(Projects!$F$2:$F$30,$A6,Projects!$B$2:$B$30,"A",Projects!$H$2:$H$30,1)</f>
        <v>1</v>
      </c>
      <c r="C6" s="3" t="n">
        <f aca="false">COUNTIFS(Projects!$F$2:$F$30,$A6,Projects!$B$2:$B$30,"B",Projects!$H$2:$H$30,1)</f>
        <v>1</v>
      </c>
      <c r="D6" s="3" t="n">
        <f aca="false">B6+C6</f>
        <v>2</v>
      </c>
      <c r="E6" s="6" t="n">
        <f aca="false">D6/$D$10</f>
        <v>0.0769230769230769</v>
      </c>
    </row>
    <row r="7" customFormat="false" ht="14.25" hidden="false" customHeight="true" outlineLevel="0" collapsed="false">
      <c r="A7" s="3" t="s">
        <v>228</v>
      </c>
      <c r="B7" s="3" t="n">
        <f aca="false">COUNTIFS(Projects!$F$2:$F$30,$A7,Projects!$B$2:$B$30,"A",Projects!$H$2:$H$30,1)</f>
        <v>0</v>
      </c>
      <c r="C7" s="3" t="n">
        <f aca="false">COUNTIFS(Projects!$F$2:$F$30,$A7,Projects!$B$2:$B$30,"B",Projects!$H$2:$H$30,1)</f>
        <v>1</v>
      </c>
      <c r="D7" s="3" t="n">
        <f aca="false">B7+C7</f>
        <v>1</v>
      </c>
      <c r="E7" s="6" t="n">
        <f aca="false">D7/$D$10</f>
        <v>0.0384615384615385</v>
      </c>
    </row>
    <row r="8" customFormat="false" ht="14.25" hidden="false" customHeight="true" outlineLevel="0" collapsed="false">
      <c r="A8" s="3" t="s">
        <v>233</v>
      </c>
      <c r="B8" s="3" t="n">
        <f aca="false">COUNTIFS(Projects!$F$2:$F$30,$A8,Projects!$B$2:$B$30,"A",Projects!$H$2:$H$30,1)</f>
        <v>0</v>
      </c>
      <c r="C8" s="3" t="n">
        <f aca="false">COUNTIFS(Projects!$F$2:$F$30,$A8,Projects!$B$2:$B$30,"B",Projects!$H$2:$H$30,1)</f>
        <v>2</v>
      </c>
      <c r="D8" s="3" t="n">
        <f aca="false">B8+C8</f>
        <v>2</v>
      </c>
      <c r="E8" s="6" t="n">
        <f aca="false">D8/$D$10</f>
        <v>0.0769230769230769</v>
      </c>
    </row>
    <row r="9" customFormat="false" ht="14.25" hidden="false" customHeight="true" outlineLevel="0" collapsed="false">
      <c r="A9" s="3"/>
      <c r="B9" s="3"/>
      <c r="C9" s="3"/>
      <c r="D9" s="3"/>
      <c r="E9" s="3"/>
    </row>
    <row r="10" customFormat="false" ht="14.25" hidden="false" customHeight="true" outlineLevel="0" collapsed="false">
      <c r="A10" s="4" t="s">
        <v>256</v>
      </c>
      <c r="B10" s="3" t="n">
        <f aca="false">SUM(B2:B9)</f>
        <v>16</v>
      </c>
      <c r="C10" s="3" t="n">
        <f aca="false">SUM(C2:C9)</f>
        <v>10</v>
      </c>
      <c r="D10" s="3" t="n">
        <f aca="false">SUM(D2:D9)</f>
        <v>26</v>
      </c>
      <c r="E10" s="3"/>
    </row>
    <row r="11" customFormat="false" ht="14.25" hidden="false" customHeight="true" outlineLevel="0" collapsed="false">
      <c r="A11" s="3" t="s">
        <v>257</v>
      </c>
      <c r="B11" s="3" t="n">
        <f aca="false">COUNTIF(Projects!$B$2:$B$30,"A")</f>
        <v>17</v>
      </c>
      <c r="C11" s="3" t="n">
        <f aca="false">COUNTIF(Projects!$B$2:$B$30,"B")</f>
        <v>12</v>
      </c>
      <c r="D11" s="3" t="n">
        <f aca="false">B11+C11</f>
        <v>29</v>
      </c>
      <c r="E11" s="3"/>
    </row>
    <row r="12" customFormat="false" ht="14.25" hidden="false" customHeight="true" outlineLevel="0" collapsed="false">
      <c r="A12" s="3" t="s">
        <v>258</v>
      </c>
      <c r="B12" s="3" t="n">
        <f aca="false">B11-B10</f>
        <v>1</v>
      </c>
      <c r="C12" s="3" t="n">
        <f aca="false">C11-C10</f>
        <v>2</v>
      </c>
      <c r="D12" s="3" t="n">
        <f aca="false">D11-D10</f>
        <v>3</v>
      </c>
      <c r="E12" s="3"/>
    </row>
    <row r="13" customFormat="false" ht="26.25" hidden="false" customHeight="true" outlineLevel="0" collapsed="false">
      <c r="A13" s="3" t="s">
        <v>259</v>
      </c>
      <c r="B13" s="3"/>
      <c r="C13" s="3"/>
      <c r="D13" s="3" t="n">
        <v>0</v>
      </c>
      <c r="E13" s="3" t="s">
        <v>260</v>
      </c>
    </row>
    <row r="14" customFormat="false" ht="26.25" hidden="false" customHeight="true" outlineLevel="0" collapsed="false">
      <c r="A14" s="3" t="s">
        <v>261</v>
      </c>
      <c r="B14" s="3" t="n">
        <f aca="false">COUNTIFS(Projects!$B$2:$B$30,"A",Projects!$H$2:$H$30,1,Projects!$J$2:$J$30,"P*")</f>
        <v>11</v>
      </c>
      <c r="C14" s="3" t="n">
        <f aca="false">COUNTIFS(Projects!$B$2:$B$30,"B",Projects!$H$2:$H$30,1,Projects!$J$2:$J$30,"P*")</f>
        <v>5</v>
      </c>
      <c r="D14" s="3" t="n">
        <f aca="false">B14+C14</f>
        <v>16</v>
      </c>
      <c r="E14" s="3"/>
    </row>
    <row r="15" customFormat="false" ht="26.25" hidden="false" customHeight="true" outlineLevel="0" collapsed="false">
      <c r="A15" s="3" t="s">
        <v>262</v>
      </c>
      <c r="B15" s="3" t="n">
        <f aca="false">B10-B14</f>
        <v>5</v>
      </c>
      <c r="C15" s="3" t="n">
        <f aca="false">C10-C14</f>
        <v>5</v>
      </c>
      <c r="D15" s="3" t="n">
        <f aca="false">D10-D14</f>
        <v>10</v>
      </c>
      <c r="E15" s="3"/>
    </row>
    <row r="16" customFormat="false" ht="14.25" hidden="false" customHeight="true" outlineLevel="0" collapsed="false">
      <c r="A16" s="3" t="s">
        <v>263</v>
      </c>
      <c r="B16" s="3" t="n">
        <f aca="false">COUNTIFS(Projects!$F$2:$F$30,"VEC",Projects!$B$2:$B$30,"A",Projects!$H$2:$H$30,1,Projects!$J$2:$J$30,"P*")</f>
        <v>1</v>
      </c>
      <c r="C16" s="3" t="n">
        <f aca="false">COUNTIFS(Projects!$F$2:$F$30,"VEC",Projects!$B$2:$B$30,"B",Projects!$H$2:$H$30,1,Projects!$J$2:$J$30,"P*")</f>
        <v>2</v>
      </c>
      <c r="D16" s="3" t="n">
        <f aca="false">B16+C16</f>
        <v>3</v>
      </c>
    </row>
    <row r="17" customFormat="false" ht="23.25" hidden="false" customHeight="true" outlineLevel="0" collapsed="false">
      <c r="A17" s="3" t="s">
        <v>264</v>
      </c>
      <c r="B17" s="3" t="n">
        <f aca="false">COUNTIFS(Projects!$F$2:$F$30,"VEC",Projects!$B$2:$B$30,"A",Projects!$H$2:$H$30,1)-B16</f>
        <v>1</v>
      </c>
      <c r="C17" s="3" t="n">
        <f aca="false">COUNTIFS(Projects!$F$2:$F$30,"VEC",Projects!$B$2:$B$30,"B",Projects!$H$2:$H$30,1)-C16</f>
        <v>2</v>
      </c>
      <c r="D17" s="3" t="n">
        <f aca="false">B17+C17</f>
        <v>3</v>
      </c>
      <c r="E17" s="3" t="s">
        <v>265</v>
      </c>
    </row>
    <row r="18" customFormat="false" ht="23.25" hidden="false" customHeight="true" outlineLevel="0" collapsed="false">
      <c r="A18" s="3" t="s">
        <v>266</v>
      </c>
      <c r="B18" s="3" t="n">
        <f aca="false">SUMIF(Projects!$B$2:$B$30,"A",Projects!$K$2:$K$30)</f>
        <v>42</v>
      </c>
      <c r="C18" s="3" t="n">
        <f aca="false">SUMIF(Projects!$B$2:$B$30,"B",Projects!$K$2:$K$30)</f>
        <v>29</v>
      </c>
      <c r="D18" s="3" t="n">
        <f aca="false">B18+C18</f>
        <v>71</v>
      </c>
      <c r="E18" s="3"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4" min="3" style="1" width="14"/>
    <col collapsed="false" customWidth="true" hidden="false" outlineLevel="0" max="5" min="5" style="1" width="8"/>
    <col collapsed="false" customWidth="true" hidden="false" outlineLevel="0" max="6" min="6" style="1" width="60"/>
  </cols>
  <sheetData>
    <row r="1" customFormat="false" ht="26.25" hidden="false" customHeight="true" outlineLevel="0" collapsed="false">
      <c r="A1" s="5" t="s">
        <v>268</v>
      </c>
      <c r="B1" s="5" t="s">
        <v>269</v>
      </c>
      <c r="C1" s="5" t="s">
        <v>270</v>
      </c>
      <c r="D1" s="5" t="s">
        <v>271</v>
      </c>
      <c r="E1" s="5" t="s">
        <v>272</v>
      </c>
      <c r="F1" s="5" t="s">
        <v>108</v>
      </c>
    </row>
    <row r="2" customFormat="false" ht="15" hidden="false" customHeight="true" outlineLevel="0" collapsed="false">
      <c r="A2" s="3" t="s">
        <v>273</v>
      </c>
      <c r="B2" s="3" t="s">
        <v>274</v>
      </c>
      <c r="C2" s="3" t="n">
        <f aca="false">Quiz_summary!B2</f>
        <v>75</v>
      </c>
      <c r="D2" s="8" t="n">
        <v>75</v>
      </c>
      <c r="E2" s="3" t="str">
        <f aca="false">IF(C2=D2,"OK","CHECK")</f>
        <v>OK</v>
      </c>
    </row>
    <row r="3" customFormat="false" ht="15" hidden="false" customHeight="true" outlineLevel="0" collapsed="false">
      <c r="A3" s="3" t="s">
        <v>275</v>
      </c>
      <c r="B3" s="3" t="s">
        <v>276</v>
      </c>
      <c r="C3" s="3" t="n">
        <f aca="false">Quiz_summary!B3</f>
        <v>64</v>
      </c>
      <c r="D3" s="8" t="n">
        <v>64</v>
      </c>
      <c r="E3" s="3" t="str">
        <f aca="false">IF(C3=D3,"OK","CHECK")</f>
        <v>OK</v>
      </c>
    </row>
    <row r="4" customFormat="false" ht="15" hidden="false" customHeight="true" outlineLevel="0" collapsed="false">
      <c r="A4" s="3" t="s">
        <v>277</v>
      </c>
      <c r="B4" s="3" t="s">
        <v>278</v>
      </c>
      <c r="C4" s="3" t="n">
        <f aca="false">Quiz_summary!B8</f>
        <v>59</v>
      </c>
      <c r="D4" s="8" t="n">
        <v>59</v>
      </c>
      <c r="E4" s="3" t="str">
        <f aca="false">IF(C4=D4,"OK","CHECK")</f>
        <v>OK</v>
      </c>
    </row>
    <row r="5" customFormat="false" ht="15" hidden="false" customHeight="true" outlineLevel="0" collapsed="false">
      <c r="A5" s="3" t="s">
        <v>279</v>
      </c>
      <c r="B5" s="3" t="s">
        <v>278</v>
      </c>
      <c r="C5" s="3" t="n">
        <f aca="false">Quiz_summary!B9</f>
        <v>4</v>
      </c>
      <c r="D5" s="8" t="n">
        <v>4</v>
      </c>
      <c r="E5" s="3" t="str">
        <f aca="false">IF(C5=D5,"OK","CHECK")</f>
        <v>OK</v>
      </c>
    </row>
    <row r="6" customFormat="false" ht="15" hidden="false" customHeight="true" outlineLevel="0" collapsed="false">
      <c r="A6" s="3" t="s">
        <v>280</v>
      </c>
      <c r="B6" s="3" t="s">
        <v>278</v>
      </c>
      <c r="C6" s="3" t="n">
        <f aca="false">Quiz_summary!B13</f>
        <v>1</v>
      </c>
      <c r="D6" s="8" t="n">
        <v>1</v>
      </c>
      <c r="E6" s="3" t="str">
        <f aca="false">IF(C6=D6,"OK","CHECK")</f>
        <v>OK</v>
      </c>
    </row>
    <row r="7" customFormat="false" ht="15" hidden="false" customHeight="true" outlineLevel="0" collapsed="false">
      <c r="A7" s="3" t="s">
        <v>281</v>
      </c>
      <c r="B7" s="3" t="s">
        <v>278</v>
      </c>
      <c r="C7" s="3" t="n">
        <f aca="false">ROUND(Quiz_summary!B5,2)</f>
        <v>9.81</v>
      </c>
      <c r="D7" s="8" t="n">
        <v>9.81</v>
      </c>
      <c r="E7" s="3" t="str">
        <f aca="false">IF(C7=D7,"OK","CHECK")</f>
        <v>OK</v>
      </c>
    </row>
    <row r="8" customFormat="false" ht="15" hidden="false" customHeight="true" outlineLevel="0" collapsed="false">
      <c r="A8" s="3" t="s">
        <v>282</v>
      </c>
      <c r="B8" s="3" t="s">
        <v>278</v>
      </c>
      <c r="C8" s="3" t="n">
        <f aca="false">ROUND(Quiz_summary!B6,2)</f>
        <v>1.02</v>
      </c>
      <c r="D8" s="8" t="n">
        <v>1.02</v>
      </c>
      <c r="E8" s="3" t="str">
        <f aca="false">IF(C8=D8,"OK","CHECK")</f>
        <v>OK</v>
      </c>
    </row>
    <row r="9" customFormat="false" ht="15" hidden="false" customHeight="true" outlineLevel="0" collapsed="false">
      <c r="A9" s="3" t="s">
        <v>283</v>
      </c>
      <c r="B9" s="3" t="s">
        <v>278</v>
      </c>
      <c r="C9" s="7" t="n">
        <f aca="false">Quiz_summary!B7</f>
        <v>10</v>
      </c>
      <c r="D9" s="8" t="n">
        <v>10</v>
      </c>
      <c r="E9" s="3" t="str">
        <f aca="false">IF(C9=D9,"OK","CHECK")</f>
        <v>OK</v>
      </c>
    </row>
    <row r="10" customFormat="false" ht="15" hidden="false" customHeight="true" outlineLevel="0" collapsed="false">
      <c r="A10" s="3" t="s">
        <v>133</v>
      </c>
      <c r="B10" s="3" t="s">
        <v>278</v>
      </c>
      <c r="C10" s="13" t="n">
        <f aca="false">ROUND(Quiz_summary!B11,2)</f>
        <v>0.92</v>
      </c>
      <c r="D10" s="14" t="n">
        <v>0.92</v>
      </c>
      <c r="E10" s="3" t="str">
        <f aca="false">IF(C10=D10,"OK","CHECK")</f>
        <v>OK</v>
      </c>
    </row>
    <row r="11" customFormat="false" ht="15" hidden="false" customHeight="true" outlineLevel="0" collapsed="false">
      <c r="A11" s="3" t="s">
        <v>137</v>
      </c>
      <c r="B11" s="3" t="s">
        <v>278</v>
      </c>
      <c r="C11" s="13" t="n">
        <f aca="false">ROUND(Quiz_summary!B14,2)</f>
        <v>0.95</v>
      </c>
      <c r="D11" s="14" t="n">
        <v>0.95</v>
      </c>
      <c r="E11" s="3" t="str">
        <f aca="false">IF(C11=D11,"OK","CHECK")</f>
        <v>OK</v>
      </c>
    </row>
    <row r="12" customFormat="false" ht="15" hidden="false" customHeight="true" outlineLevel="0" collapsed="false">
      <c r="A12" s="3" t="s">
        <v>138</v>
      </c>
      <c r="B12" s="3" t="s">
        <v>278</v>
      </c>
      <c r="C12" s="13" t="n">
        <f aca="false">ROUND(Quiz_summary!B15,2)</f>
        <v>1</v>
      </c>
      <c r="D12" s="14" t="n">
        <v>1</v>
      </c>
      <c r="E12" s="3" t="str">
        <f aca="false">IF(C12=D12,"OK","CHECK")</f>
        <v>OK</v>
      </c>
    </row>
    <row r="13" customFormat="false" ht="15" hidden="false" customHeight="true" outlineLevel="0" collapsed="false">
      <c r="A13" s="3" t="s">
        <v>284</v>
      </c>
      <c r="B13" s="3" t="s">
        <v>285</v>
      </c>
      <c r="C13" s="3" t="n">
        <f aca="false">Projects_summary!D11</f>
        <v>29</v>
      </c>
      <c r="D13" s="8" t="n">
        <v>29</v>
      </c>
      <c r="E13" s="3" t="str">
        <f aca="false">IF(C13=D13,"OK","CHECK")</f>
        <v>OK</v>
      </c>
    </row>
    <row r="14" customFormat="false" ht="15" hidden="false" customHeight="true" outlineLevel="0" collapsed="false">
      <c r="A14" s="3" t="s">
        <v>286</v>
      </c>
      <c r="B14" s="3" t="s">
        <v>287</v>
      </c>
      <c r="C14" s="3" t="n">
        <f aca="false">Projects_summary!B11</f>
        <v>17</v>
      </c>
      <c r="D14" s="8" t="n">
        <v>17</v>
      </c>
      <c r="E14" s="3" t="str">
        <f aca="false">IF(C14=D14,"OK","CHECK")</f>
        <v>OK</v>
      </c>
    </row>
    <row r="15" customFormat="false" ht="15" hidden="false" customHeight="true" outlineLevel="0" collapsed="false">
      <c r="A15" s="3" t="s">
        <v>288</v>
      </c>
      <c r="B15" s="3" t="s">
        <v>287</v>
      </c>
      <c r="C15" s="3" t="n">
        <f aca="false">Projects_summary!B10</f>
        <v>16</v>
      </c>
      <c r="D15" s="8" t="n">
        <v>16</v>
      </c>
      <c r="E15" s="3" t="str">
        <f aca="false">IF(C15=D15,"OK","CHECK")</f>
        <v>OK</v>
      </c>
    </row>
    <row r="16" customFormat="false" ht="15" hidden="false" customHeight="true" outlineLevel="0" collapsed="false">
      <c r="A16" s="3" t="s">
        <v>289</v>
      </c>
      <c r="B16" s="3" t="s">
        <v>287</v>
      </c>
      <c r="C16" s="3" t="n">
        <f aca="false">Projects_summary!C11</f>
        <v>12</v>
      </c>
      <c r="D16" s="8" t="n">
        <v>12</v>
      </c>
      <c r="E16" s="3" t="str">
        <f aca="false">IF(C16=D16,"OK","CHECK")</f>
        <v>OK</v>
      </c>
    </row>
    <row r="17" customFormat="false" ht="15" hidden="false" customHeight="true" outlineLevel="0" collapsed="false">
      <c r="A17" s="3" t="s">
        <v>290</v>
      </c>
      <c r="B17" s="3" t="s">
        <v>287</v>
      </c>
      <c r="C17" s="3" t="n">
        <f aca="false">Projects_summary!C10</f>
        <v>10</v>
      </c>
      <c r="D17" s="8" t="n">
        <v>10</v>
      </c>
      <c r="E17" s="3" t="str">
        <f aca="false">IF(C17=D17,"OK","CHECK")</f>
        <v>OK</v>
      </c>
    </row>
    <row r="18" customFormat="false" ht="15" hidden="false" customHeight="true" outlineLevel="0" collapsed="false">
      <c r="A18" s="3" t="s">
        <v>291</v>
      </c>
      <c r="B18" s="3" t="s">
        <v>285</v>
      </c>
      <c r="C18" s="3" t="n">
        <f aca="false">Projects_summary!D12</f>
        <v>3</v>
      </c>
      <c r="D18" s="8" t="n">
        <v>3</v>
      </c>
      <c r="E18" s="3" t="str">
        <f aca="false">IF(C18=D18,"OK","CHECK")</f>
        <v>OK</v>
      </c>
    </row>
    <row r="19" customFormat="false" ht="15" hidden="false" customHeight="true" outlineLevel="0" collapsed="false">
      <c r="A19" s="3" t="s">
        <v>292</v>
      </c>
      <c r="B19" s="3" t="s">
        <v>293</v>
      </c>
      <c r="C19" s="3" t="n">
        <f aca="false">Projects_summary!D10</f>
        <v>26</v>
      </c>
      <c r="D19" s="8" t="n">
        <v>26</v>
      </c>
      <c r="E19" s="3" t="str">
        <f aca="false">IF(C19=D19,"OK","CHECK")</f>
        <v>OK</v>
      </c>
    </row>
    <row r="20" customFormat="false" ht="15" hidden="false" customHeight="true" outlineLevel="0" collapsed="false">
      <c r="A20" s="3" t="s">
        <v>294</v>
      </c>
      <c r="B20" s="3" t="s">
        <v>293</v>
      </c>
      <c r="C20" s="3" t="n">
        <f aca="false">Projects_summary!D14</f>
        <v>16</v>
      </c>
      <c r="D20" s="8" t="n">
        <v>16</v>
      </c>
      <c r="E20" s="3" t="str">
        <f aca="false">IF(C20=D20,"OK","CHECK")</f>
        <v>OK</v>
      </c>
    </row>
    <row r="21" customFormat="false" ht="15" hidden="false" customHeight="true" outlineLevel="0" collapsed="false">
      <c r="A21" s="3" t="s">
        <v>295</v>
      </c>
      <c r="B21" s="3" t="s">
        <v>293</v>
      </c>
      <c r="C21" s="3" t="n">
        <f aca="false">Projects_summary!D15</f>
        <v>10</v>
      </c>
      <c r="D21" s="8" t="n">
        <v>10</v>
      </c>
      <c r="E21" s="3" t="str">
        <f aca="false">IF(C21=D21,"OK","CHECK")</f>
        <v>OK</v>
      </c>
    </row>
    <row r="22" customFormat="false" ht="15" hidden="false" customHeight="true" outlineLevel="0" collapsed="false">
      <c r="A22" s="3" t="s">
        <v>296</v>
      </c>
      <c r="B22" s="3" t="s">
        <v>297</v>
      </c>
      <c r="C22" s="3" t="n">
        <f aca="false">Projects_summary!D2</f>
        <v>6</v>
      </c>
      <c r="D22" s="8" t="n">
        <v>6</v>
      </c>
      <c r="E22" s="3" t="str">
        <f aca="false">IF(C22=D22,"OK","CHECK")</f>
        <v>OK</v>
      </c>
    </row>
    <row r="23" customFormat="false" ht="15" hidden="false" customHeight="true" outlineLevel="0" collapsed="false">
      <c r="A23" s="3" t="s">
        <v>298</v>
      </c>
      <c r="B23" s="3" t="s">
        <v>293</v>
      </c>
      <c r="C23" s="3" t="n">
        <f aca="false">Projects_summary!D16</f>
        <v>3</v>
      </c>
      <c r="D23" s="8" t="n">
        <v>3</v>
      </c>
      <c r="E23" s="3" t="str">
        <f aca="false">IF(C23=D23,"OK","CHECK")</f>
        <v>OK</v>
      </c>
    </row>
    <row r="24" customFormat="false" ht="15" hidden="false" customHeight="true" outlineLevel="0" collapsed="false">
      <c r="A24" s="3" t="s">
        <v>299</v>
      </c>
      <c r="B24" s="3" t="s">
        <v>293</v>
      </c>
      <c r="C24" s="3" t="n">
        <f aca="false">Projects_summary!D17</f>
        <v>3</v>
      </c>
      <c r="D24" s="8" t="n">
        <v>3</v>
      </c>
      <c r="E24" s="3" t="str">
        <f aca="false">IF(C24=D24,"OK","CHECK")</f>
        <v>OK</v>
      </c>
    </row>
    <row r="25" customFormat="false" ht="15" hidden="false" customHeight="true" outlineLevel="0" collapsed="false">
      <c r="A25" s="3" t="s">
        <v>300</v>
      </c>
      <c r="B25" s="3" t="s">
        <v>293</v>
      </c>
      <c r="C25" s="3" t="n">
        <f aca="false">Projects_summary!D3</f>
        <v>8</v>
      </c>
      <c r="D25" s="8" t="n">
        <v>8</v>
      </c>
      <c r="E25" s="3" t="str">
        <f aca="false">IF(C25=D25,"OK","CHECK")</f>
        <v>OK</v>
      </c>
    </row>
    <row r="26" customFormat="false" ht="15" hidden="false" customHeight="true" outlineLevel="0" collapsed="false">
      <c r="A26" s="3" t="s">
        <v>301</v>
      </c>
      <c r="B26" s="3" t="s">
        <v>293</v>
      </c>
      <c r="C26" s="3" t="n">
        <f aca="false">Projects_summary!D6</f>
        <v>2</v>
      </c>
      <c r="D26" s="8" t="n">
        <v>2</v>
      </c>
      <c r="E26" s="3" t="str">
        <f aca="false">IF(C26=D26,"OK","CHECK")</f>
        <v>OK</v>
      </c>
    </row>
    <row r="27" customFormat="false" ht="15" hidden="false" customHeight="true" outlineLevel="0" collapsed="false">
      <c r="A27" s="3" t="s">
        <v>259</v>
      </c>
      <c r="B27" s="3" t="s">
        <v>293</v>
      </c>
      <c r="C27" s="3" t="n">
        <f aca="false">Projects_summary!D13</f>
        <v>0</v>
      </c>
      <c r="D27" s="8" t="n">
        <v>0</v>
      </c>
      <c r="E27" s="3" t="str">
        <f aca="false">IF(C27=D27,"OK","CHECK")</f>
        <v>OK</v>
      </c>
    </row>
    <row r="28" customFormat="false" ht="15" hidden="false" customHeight="true" outlineLevel="0" collapsed="false">
      <c r="A28" s="3" t="s">
        <v>302</v>
      </c>
      <c r="B28" s="3" t="s">
        <v>285</v>
      </c>
      <c r="C28" s="3" t="n">
        <f aca="false">Projects_summary!D18</f>
        <v>71</v>
      </c>
      <c r="D28" s="8" t="n">
        <v>70</v>
      </c>
      <c r="E28" s="3" t="str">
        <f aca="false">IF(ABS(C28-D28)&lt;=5,"OK","CHECK")</f>
        <v>OK</v>
      </c>
      <c r="F28" s="3" t="s">
        <v>303</v>
      </c>
    </row>
    <row r="29" customFormat="false" ht="23.25" hidden="false" customHeight="true" outlineLevel="0" collapsed="false">
      <c r="A29" s="3" t="s">
        <v>304</v>
      </c>
      <c r="B29" s="3" t="s">
        <v>293</v>
      </c>
      <c r="C29" s="3" t="n">
        <f aca="false">Projects_summary!D8</f>
        <v>2</v>
      </c>
      <c r="D29" s="8" t="s">
        <v>305</v>
      </c>
      <c r="E29" s="3" t="s">
        <v>306</v>
      </c>
      <c r="F29" s="3" t="s">
        <v>307</v>
      </c>
    </row>
    <row r="31" customFormat="false" ht="15" hidden="false" customHeight="true" outlineLevel="0" collapsed="false">
      <c r="A31" s="11" t="s">
        <v>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2"/>
    <col collapsed="false" customWidth="true" hidden="false" outlineLevel="0" max="3" min="3" style="1" width="70"/>
    <col collapsed="false" customWidth="true" hidden="false" outlineLevel="0" max="4" min="4" style="1" width="32"/>
  </cols>
  <sheetData>
    <row r="1" customFormat="false" ht="15" hidden="false" customHeight="true" outlineLevel="0" collapsed="false">
      <c r="A1" s="5" t="s">
        <v>309</v>
      </c>
      <c r="B1" s="5" t="s">
        <v>310</v>
      </c>
      <c r="C1" s="5" t="s">
        <v>311</v>
      </c>
      <c r="D1" s="5" t="s">
        <v>312</v>
      </c>
    </row>
    <row r="2" customFormat="false" ht="15" hidden="false" customHeight="true" outlineLevel="0" collapsed="false">
      <c r="A2" s="3" t="s">
        <v>313</v>
      </c>
      <c r="B2" s="3" t="s">
        <v>25</v>
      </c>
      <c r="C2" s="3" t="s">
        <v>314</v>
      </c>
      <c r="D2" s="3" t="s">
        <v>315</v>
      </c>
    </row>
    <row r="3" customFormat="false" ht="15" hidden="false" customHeight="true" outlineLevel="0" collapsed="false">
      <c r="A3" s="3" t="s">
        <v>313</v>
      </c>
      <c r="B3" s="3" t="s">
        <v>316</v>
      </c>
      <c r="C3" s="3" t="s">
        <v>317</v>
      </c>
      <c r="D3" s="3" t="s">
        <v>318</v>
      </c>
    </row>
    <row r="4" customFormat="false" ht="15" hidden="false" customHeight="true" outlineLevel="0" collapsed="false">
      <c r="A4" s="3" t="s">
        <v>313</v>
      </c>
      <c r="B4" s="3" t="s">
        <v>36</v>
      </c>
      <c r="C4" s="3" t="s">
        <v>319</v>
      </c>
      <c r="D4" s="3" t="s">
        <v>320</v>
      </c>
    </row>
    <row r="5" customFormat="false" ht="15" hidden="false" customHeight="true" outlineLevel="0" collapsed="false">
      <c r="A5" s="3" t="s">
        <v>313</v>
      </c>
      <c r="B5" s="3" t="s">
        <v>37</v>
      </c>
      <c r="C5" s="3" t="s">
        <v>321</v>
      </c>
      <c r="D5" s="3" t="s">
        <v>322</v>
      </c>
    </row>
    <row r="6" customFormat="false" ht="15" hidden="false" customHeight="true" outlineLevel="0" collapsed="false">
      <c r="A6" s="3" t="s">
        <v>313</v>
      </c>
      <c r="B6" s="3" t="s">
        <v>38</v>
      </c>
      <c r="C6" s="3" t="s">
        <v>323</v>
      </c>
      <c r="D6" s="3" t="s">
        <v>320</v>
      </c>
    </row>
    <row r="7" customFormat="false" ht="15" hidden="false" customHeight="true" outlineLevel="0" collapsed="false">
      <c r="A7" s="3" t="s">
        <v>313</v>
      </c>
      <c r="B7" s="3" t="s">
        <v>39</v>
      </c>
      <c r="C7" s="3" t="s">
        <v>324</v>
      </c>
      <c r="D7" s="3" t="s">
        <v>325</v>
      </c>
    </row>
    <row r="8" customFormat="false" ht="15" hidden="false" customHeight="true" outlineLevel="0" collapsed="false">
      <c r="A8" s="3" t="s">
        <v>326</v>
      </c>
      <c r="B8" s="3" t="s">
        <v>139</v>
      </c>
      <c r="C8" s="3" t="s">
        <v>327</v>
      </c>
      <c r="D8" s="3" t="s">
        <v>328</v>
      </c>
    </row>
    <row r="9" customFormat="false" ht="15" hidden="false" customHeight="true" outlineLevel="0" collapsed="false">
      <c r="A9" s="3" t="s">
        <v>326</v>
      </c>
      <c r="B9" s="3" t="s">
        <v>161</v>
      </c>
      <c r="C9" s="3" t="s">
        <v>329</v>
      </c>
      <c r="D9" s="3" t="s">
        <v>330</v>
      </c>
    </row>
    <row r="10" customFormat="false" ht="15" hidden="false" customHeight="true" outlineLevel="0" collapsed="false">
      <c r="A10" s="3" t="s">
        <v>326</v>
      </c>
      <c r="B10" s="3" t="s">
        <v>162</v>
      </c>
      <c r="C10" s="3" t="s">
        <v>331</v>
      </c>
      <c r="D10" s="3" t="s">
        <v>332</v>
      </c>
    </row>
    <row r="11" customFormat="false" ht="15" hidden="false" customHeight="true" outlineLevel="0" collapsed="false">
      <c r="A11" s="3" t="s">
        <v>326</v>
      </c>
      <c r="B11" s="3" t="s">
        <v>163</v>
      </c>
      <c r="C11" s="3" t="s">
        <v>333</v>
      </c>
      <c r="D11" s="3" t="s">
        <v>334</v>
      </c>
    </row>
    <row r="12" customFormat="false" ht="15" hidden="false" customHeight="true" outlineLevel="0" collapsed="false">
      <c r="A12" s="3" t="s">
        <v>326</v>
      </c>
      <c r="B12" s="3" t="s">
        <v>164</v>
      </c>
      <c r="C12" s="3" t="s">
        <v>335</v>
      </c>
      <c r="D12" s="3" t="s">
        <v>336</v>
      </c>
    </row>
    <row r="13" customFormat="false" ht="23.25" hidden="false" customHeight="true" outlineLevel="0" collapsed="false">
      <c r="A13" s="3" t="s">
        <v>326</v>
      </c>
      <c r="B13" s="3" t="s">
        <v>165</v>
      </c>
      <c r="C13" s="3" t="s">
        <v>337</v>
      </c>
      <c r="D13" s="3" t="s">
        <v>338</v>
      </c>
    </row>
    <row r="14" customFormat="false" ht="15" hidden="false" customHeight="true" outlineLevel="0" collapsed="false">
      <c r="A14" s="3" t="s">
        <v>326</v>
      </c>
      <c r="B14" s="3" t="s">
        <v>166</v>
      </c>
      <c r="C14" s="3" t="s">
        <v>339</v>
      </c>
      <c r="D14" s="3" t="s">
        <v>340</v>
      </c>
    </row>
    <row r="15" customFormat="false" ht="15" hidden="false" customHeight="true" outlineLevel="0" collapsed="false">
      <c r="A15" s="3" t="s">
        <v>326</v>
      </c>
      <c r="B15" s="3" t="s">
        <v>167</v>
      </c>
      <c r="C15" s="3" t="s">
        <v>341</v>
      </c>
      <c r="D15" s="3" t="s">
        <v>322</v>
      </c>
    </row>
    <row r="16" customFormat="false" ht="15" hidden="false" customHeight="true" outlineLevel="0" collapsed="false">
      <c r="A16" s="3" t="s">
        <v>326</v>
      </c>
      <c r="B16" s="3" t="s">
        <v>342</v>
      </c>
      <c r="C16" s="3" t="s">
        <v>343</v>
      </c>
      <c r="D16" s="3" t="s">
        <v>344</v>
      </c>
    </row>
    <row r="17" customFormat="false" ht="23.25" hidden="false" customHeight="true" outlineLevel="0" collapsed="false">
      <c r="A17" s="3" t="s">
        <v>326</v>
      </c>
      <c r="B17" s="3" t="s">
        <v>345</v>
      </c>
      <c r="C17" s="3" t="s">
        <v>346</v>
      </c>
      <c r="D17" s="3"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2026-10-02T19:03:41Z</dcterms:created>
  <dc:creator>openpyxl</dc:creator>
  <dc:description/>
  <dc:language>en-US</dc:language>
  <cp:lastModifiedBy>KHIMYA AMLANI</cp:lastModifiedBy>
  <dcterms:modified xsi:type="dcterms:W3CDTF">2026-10-09T20:24:13Z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